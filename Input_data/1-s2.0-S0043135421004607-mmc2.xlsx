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C:\Users\Hanh\MANUSCRIPTS\4.Kleingewässer_DE\2021_Liess et al_SupportingInfo\"/>
    </mc:Choice>
  </mc:AlternateContent>
  <xr:revisionPtr revIDLastSave="0" documentId="13_ncr:1_{81E3BA7A-6A4D-4818-853A-7C1329812DB2}" xr6:coauthVersionLast="47" xr6:coauthVersionMax="47" xr10:uidLastSave="{00000000-0000-0000-0000-000000000000}"/>
  <bookViews>
    <workbookView xWindow="-98" yWindow="-98" windowWidth="19396" windowHeight="11596" xr2:uid="{00000000-000D-0000-FFFF-FFFF00000000}"/>
  </bookViews>
  <sheets>
    <sheet name="Site Parameters" sheetId="1" r:id="rId1"/>
    <sheet name="Description" sheetId="2" r:id="rId2"/>
    <sheet name="SPEAR_TUmax_plot" sheetId="3" r:id="rId3"/>
    <sheet name="Sheet2" sheetId="4" r:id="rId4"/>
  </sheets>
  <calcPr calcId="145621"/>
  <pivotCaches>
    <pivotCache cacheId="2" r:id="rId5"/>
  </pivotCaches>
</workbook>
</file>

<file path=xl/sharedStrings.xml><?xml version="1.0" encoding="utf-8"?>
<sst xmlns="http://schemas.openxmlformats.org/spreadsheetml/2006/main" count="628" uniqueCount="180">
  <si>
    <t>Site ID</t>
  </si>
  <si>
    <t>Year</t>
  </si>
  <si>
    <t>pH</t>
  </si>
  <si>
    <t>Bed habitat structure</t>
  </si>
  <si>
    <t>EPT%</t>
  </si>
  <si>
    <t>Saprobic index</t>
  </si>
  <si>
    <t>Agricultural land cover [%]</t>
  </si>
  <si>
    <t>TN [mg/L]</t>
  </si>
  <si>
    <t>TP [mg/L]</t>
  </si>
  <si>
    <t>Temperature [°C]</t>
  </si>
  <si>
    <t>Flow velocity [m/s]</t>
  </si>
  <si>
    <t>Morphology</t>
  </si>
  <si>
    <r>
      <t>NO</t>
    </r>
    <r>
      <rPr>
        <vertAlign val="subscript"/>
        <sz val="11"/>
        <color rgb="FF000000"/>
        <rFont val="Calibri Light"/>
        <family val="2"/>
      </rPr>
      <t>2</t>
    </r>
    <r>
      <rPr>
        <sz val="11"/>
        <color rgb="FF000000"/>
        <rFont val="Calibri Light"/>
        <family val="2"/>
      </rPr>
      <t xml:space="preserve"> [mg/L]</t>
    </r>
  </si>
  <si>
    <r>
      <t>NO</t>
    </r>
    <r>
      <rPr>
        <vertAlign val="subscript"/>
        <sz val="11"/>
        <color rgb="FF000000"/>
        <rFont val="Calibri Light"/>
        <family val="2"/>
      </rPr>
      <t>3</t>
    </r>
    <r>
      <rPr>
        <sz val="11"/>
        <color rgb="FF000000"/>
        <rFont val="Calibri Light"/>
        <family val="2"/>
      </rPr>
      <t xml:space="preserve"> [mg/L]</t>
    </r>
  </si>
  <si>
    <r>
      <t>NH</t>
    </r>
    <r>
      <rPr>
        <vertAlign val="subscript"/>
        <sz val="11"/>
        <color rgb="FF000000"/>
        <rFont val="Calibri Light"/>
        <family val="2"/>
      </rPr>
      <t>4</t>
    </r>
    <r>
      <rPr>
        <sz val="11"/>
        <color rgb="FF000000"/>
        <rFont val="Calibri Light"/>
        <family val="2"/>
      </rPr>
      <t xml:space="preserve"> [mg/L]</t>
    </r>
  </si>
  <si>
    <r>
      <t>PO</t>
    </r>
    <r>
      <rPr>
        <vertAlign val="subscript"/>
        <sz val="11"/>
        <color rgb="FF000000"/>
        <rFont val="Calibri Light"/>
        <family val="2"/>
      </rPr>
      <t>4</t>
    </r>
    <r>
      <rPr>
        <sz val="11"/>
        <color rgb="FF000000"/>
        <rFont val="Calibri Light"/>
        <family val="2"/>
      </rPr>
      <t xml:space="preserve"> [mg/L]</t>
    </r>
  </si>
  <si>
    <r>
      <t>TU</t>
    </r>
    <r>
      <rPr>
        <vertAlign val="subscript"/>
        <sz val="11"/>
        <color rgb="FF000000"/>
        <rFont val="Calibri Light"/>
        <family val="2"/>
      </rPr>
      <t>metal</t>
    </r>
    <r>
      <rPr>
        <sz val="11"/>
        <color rgb="FF000000"/>
        <rFont val="Calibri Light"/>
        <family val="2"/>
      </rPr>
      <t xml:space="preserve"> [log]</t>
    </r>
  </si>
  <si>
    <r>
      <t>Dissolved O</t>
    </r>
    <r>
      <rPr>
        <vertAlign val="subscript"/>
        <sz val="11"/>
        <color rgb="FF000000"/>
        <rFont val="Calibri Light"/>
        <family val="2"/>
      </rPr>
      <t>2</t>
    </r>
    <r>
      <rPr>
        <sz val="11"/>
        <color rgb="FF000000"/>
        <rFont val="Calibri Light"/>
        <family val="2"/>
      </rPr>
      <t xml:space="preserve"> [mg/L]</t>
    </r>
  </si>
  <si>
    <r>
      <t>SPEAR</t>
    </r>
    <r>
      <rPr>
        <vertAlign val="subscript"/>
        <sz val="11"/>
        <color rgb="FF000000"/>
        <rFont val="Calibri Light"/>
        <family val="2"/>
      </rPr>
      <t>pesticides</t>
    </r>
  </si>
  <si>
    <r>
      <t>Catchment area [km</t>
    </r>
    <r>
      <rPr>
        <vertAlign val="superscript"/>
        <sz val="11"/>
        <color rgb="FF000000"/>
        <rFont val="Calibri Light"/>
        <family val="2"/>
      </rPr>
      <t>2</t>
    </r>
    <r>
      <rPr>
        <sz val="11"/>
        <color rgb="FF000000"/>
        <rFont val="Calibri Light"/>
        <family val="2"/>
      </rPr>
      <t>]</t>
    </r>
  </si>
  <si>
    <t>Parameter</t>
  </si>
  <si>
    <t>Information</t>
  </si>
  <si>
    <t>Data aggregation</t>
  </si>
  <si>
    <t>-</t>
  </si>
  <si>
    <t>Size of hydrological catchment</t>
  </si>
  <si>
    <t>See Methods</t>
  </si>
  <si>
    <t>Nitrite, nitrate, ammonium, ortho-phosphate (see Methods for analysis details)</t>
  </si>
  <si>
    <t>Maximum value measured per site (Grab and EDS samples)</t>
  </si>
  <si>
    <t>TN, TP</t>
  </si>
  <si>
    <t>Maximum of summed TUs per site</t>
  </si>
  <si>
    <t>Temperature</t>
  </si>
  <si>
    <t>Continuous probe measurements</t>
  </si>
  <si>
    <t>Flow velocity</t>
  </si>
  <si>
    <t>Velocity of stream flow</t>
  </si>
  <si>
    <t>Geometric mean of all values measured per site</t>
  </si>
  <si>
    <t>Continuous measurement by multiprobe (see Methods)</t>
  </si>
  <si>
    <t>25th quantile of all values measured per site, missing values were replaced by average of similar sites</t>
  </si>
  <si>
    <t>pH of stream water</t>
  </si>
  <si>
    <t>Mean of values measured per site</t>
  </si>
  <si>
    <t>Percentage of all stream bed substrate providing solid material for invertebrates to hang on to (plants, wood, coarse particulate organic matter, debris and all types of stones &gt; 2 mm except for canalization), data collected during multi-habitat sampling of invertebrates</t>
  </si>
  <si>
    <r>
      <t>NO</t>
    </r>
    <r>
      <rPr>
        <vertAlign val="subscript"/>
        <sz val="11"/>
        <color rgb="FF000000"/>
        <rFont val="Calibri Light"/>
        <family val="2"/>
      </rPr>
      <t>2</t>
    </r>
    <r>
      <rPr>
        <sz val="11"/>
        <color rgb="FF000000"/>
        <rFont val="Calibri Light"/>
        <family val="2"/>
      </rPr>
      <t>, NO</t>
    </r>
    <r>
      <rPr>
        <vertAlign val="subscript"/>
        <sz val="11"/>
        <color rgb="FF000000"/>
        <rFont val="Calibri Light"/>
        <family val="2"/>
      </rPr>
      <t>3</t>
    </r>
    <r>
      <rPr>
        <sz val="11"/>
        <color rgb="FF000000"/>
        <rFont val="Calibri Light"/>
        <family val="2"/>
      </rPr>
      <t>, NH</t>
    </r>
    <r>
      <rPr>
        <vertAlign val="subscript"/>
        <sz val="11"/>
        <color rgb="FF000000"/>
        <rFont val="Calibri Light"/>
        <family val="2"/>
      </rPr>
      <t>4</t>
    </r>
    <r>
      <rPr>
        <sz val="11"/>
        <color rgb="FF000000"/>
        <rFont val="Calibri Light"/>
        <family val="2"/>
      </rPr>
      <t>, PO</t>
    </r>
    <r>
      <rPr>
        <vertAlign val="subscript"/>
        <sz val="11"/>
        <color rgb="FF000000"/>
        <rFont val="Calibri Light"/>
        <family val="2"/>
      </rPr>
      <t>4</t>
    </r>
  </si>
  <si>
    <r>
      <t>TU</t>
    </r>
    <r>
      <rPr>
        <vertAlign val="subscript"/>
        <sz val="11"/>
        <color rgb="FF000000"/>
        <rFont val="Calibri Light"/>
        <family val="2"/>
      </rPr>
      <t>metal</t>
    </r>
  </si>
  <si>
    <r>
      <t>75</t>
    </r>
    <r>
      <rPr>
        <vertAlign val="superscript"/>
        <sz val="11"/>
        <color rgb="FF000000"/>
        <rFont val="Calibri Light"/>
        <family val="2"/>
      </rPr>
      <t>th</t>
    </r>
    <r>
      <rPr>
        <sz val="11"/>
        <color rgb="FF000000"/>
        <rFont val="Calibri Light"/>
        <family val="2"/>
      </rPr>
      <t xml:space="preserve"> quantile of all measuring points in data series, missing values were replaced by average of similar sites</t>
    </r>
  </si>
  <si>
    <r>
      <t>Dissolved O</t>
    </r>
    <r>
      <rPr>
        <vertAlign val="subscript"/>
        <sz val="11"/>
        <color rgb="FF000000"/>
        <rFont val="Calibri Light"/>
        <family val="2"/>
      </rPr>
      <t>2</t>
    </r>
  </si>
  <si>
    <t>Percentage of all agriculturally used land of hydrological catchment according to CORINE land cover 2018</t>
  </si>
  <si>
    <t>Index quantifying stream structure according to LAWA (value interval from 1 = natural to 7 = completely altered, see Methods)</t>
  </si>
  <si>
    <r>
      <t>TU</t>
    </r>
    <r>
      <rPr>
        <vertAlign val="subscript"/>
        <sz val="11"/>
        <color rgb="FF000000"/>
        <rFont val="Calibri Light"/>
        <family val="2"/>
      </rPr>
      <t>max</t>
    </r>
    <r>
      <rPr>
        <sz val="11"/>
        <color rgb="FF000000"/>
        <rFont val="Calibri Light"/>
        <family val="2"/>
      </rPr>
      <t xml:space="preserve"> [log]</t>
    </r>
  </si>
  <si>
    <t>Pesticide Toxic Units to quantify local pesticide toxic pressure over time</t>
  </si>
  <si>
    <r>
      <t>TU</t>
    </r>
    <r>
      <rPr>
        <vertAlign val="subscript"/>
        <sz val="11"/>
        <color rgb="FF000000"/>
        <rFont val="Calibri Light"/>
        <family val="2"/>
      </rPr>
      <t>max</t>
    </r>
  </si>
  <si>
    <t>Catchment area</t>
  </si>
  <si>
    <t>Agricultural land cover</t>
  </si>
  <si>
    <t>Toxic Unit aggregated from trace elements to quantify their toxicity (lead, mercury, copper, arsenic, cadmium, zinc, see Methods for analysis details)</t>
  </si>
  <si>
    <t>Unique identifier for each monitoring site. The prefix "A" (agricultural) corresponds to streams with agricultural land cover exceeding 20% in the hydrological catchment, the prefix "NA" (not/less agricultural) corresponds to streams characterized by less than 20% agricultural land cover</t>
  </si>
  <si>
    <t>Index designed to indicate contamination with degradable organic substances, June sampling (Kolkwitz, R., Marsson, M., 1909. Ökologie der tierischen Saprobien. Beiträge zur Lehre von der biologischen Gewässerbeurteilung. Int. Rev. der gesamten Hydrobiol. und Hydrogr. 2, 126–152.)</t>
  </si>
  <si>
    <t>Percentage of Ephemeroptera, Plecoptera and Trichoptera taxa within the invertebrate community, June sampling (Lenat, D.R., 1988. Water Quality Assessment of Streams Using a Qualitative Collection Method for Benthic Macroinvertebrates. J. North Am. Benthol. Soc. 7, 222–233. https://doi.org/10.2307/1467422)</t>
  </si>
  <si>
    <t>SPEcies At Risk index quantifying pesticide effects on macroinvertebrate communities, June sampling (Liess, M., Von Der Ohe, P.C., 2005. Analyzing effects of pesticides on invertebrate communities in streams. Env. Toxicol Chem 24, 954–965. https://doi.org/https:// doi.org/10.1897/03-652.1)</t>
  </si>
  <si>
    <t>WWTP</t>
  </si>
  <si>
    <t>no</t>
  </si>
  <si>
    <t>yes</t>
  </si>
  <si>
    <t>Presence of wastewater treatment plants in the upstream catchment</t>
  </si>
  <si>
    <r>
      <t>RAC</t>
    </r>
    <r>
      <rPr>
        <vertAlign val="subscript"/>
        <sz val="10"/>
        <color rgb="FF000000"/>
        <rFont val="Calibri Light"/>
        <family val="2"/>
      </rPr>
      <t>max</t>
    </r>
  </si>
  <si>
    <t xml:space="preserve">Pesticide Toxic Units to quantify local pesticide toxic pressure on the basis of RAC values considering pesticides, for which invertebrates represent the most sensitive organism group </t>
  </si>
  <si>
    <t>See Methods / SI chapter 11</t>
  </si>
  <si>
    <r>
      <t>RAC</t>
    </r>
    <r>
      <rPr>
        <vertAlign val="subscript"/>
        <sz val="11"/>
        <color theme="1"/>
        <rFont val="Calibri Light"/>
        <family val="2"/>
      </rPr>
      <t>max</t>
    </r>
    <r>
      <rPr>
        <sz val="11"/>
        <color theme="1"/>
        <rFont val="Calibri Light"/>
        <family val="2"/>
      </rPr>
      <t xml:space="preserve"> [log]</t>
    </r>
  </si>
  <si>
    <t>Total nitrogen, total phosphorus (see Methods for analysis details). Total nitrogen and total phosphorous concentrations may be lower than specific nutrient (NO2, NO3, NH4, PO4) concentrations in some cases due to different analytical methods (see Methods).</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</si>
  <si>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</si>
  <si>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</si>
  <si>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</si>
  <si>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</si>
  <si>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</si>
  <si>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</si>
  <si>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</si>
  <si>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</si>
  <si>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</si>
  <si>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</si>
  <si>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</si>
  <si>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</si>
  <si>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</si>
  <si>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</si>
  <si>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</si>
  <si>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</si>
  <si>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</si>
  <si>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</si>
  <si>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</si>
  <si>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</si>
  <si>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</si>
  <si>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</si>
  <si>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</si>
  <si>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</si>
  <si>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</si>
  <si>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</si>
  <si>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</si>
  <si>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</si>
  <si>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</si>
  <si>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</si>
  <si>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</si>
  <si>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</si>
  <si>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</si>
  <si>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</si>
  <si>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</si>
  <si>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</si>
  <si>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</si>
  <si>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</si>
  <si>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</si>
  <si>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</si>
  <si>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</si>
  <si>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</si>
  <si>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</si>
  <si>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</si>
  <si>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</si>
  <si>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</si>
  <si>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</si>
  <si>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</si>
  <si>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</si>
  <si>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</si>
  <si>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</si>
  <si>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</si>
  <si>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</si>
  <si>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</si>
  <si>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</si>
  <si>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</si>
  <si>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</si>
  <si>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</si>
  <si>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</si>
  <si>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</si>
  <si>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</si>
  <si>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</si>
  <si>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</si>
  <si>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</si>
  <si>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</si>
  <si>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</si>
  <si>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</si>
  <si>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</si>
  <si>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</si>
  <si>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</si>
  <si>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</si>
  <si>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</si>
  <si>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</si>
  <si>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</si>
  <si>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</si>
  <si>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</si>
  <si>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</si>
  <si>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</si>
  <si>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</si>
  <si>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</si>
  <si>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</si>
  <si>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</si>
  <si>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</si>
  <si>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</si>
  <si>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</si>
  <si>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</si>
  <si>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S104</t>
  </si>
  <si>
    <t>S105</t>
  </si>
  <si>
    <t>S106</t>
  </si>
  <si>
    <t>S107</t>
  </si>
  <si>
    <t>S108</t>
  </si>
  <si>
    <t>S109</t>
  </si>
  <si>
    <t>S110</t>
  </si>
  <si>
    <t>S111</t>
  </si>
  <si>
    <t>S112</t>
  </si>
  <si>
    <t>S113</t>
  </si>
  <si>
    <t>S114</t>
  </si>
  <si>
    <t>S115</t>
  </si>
  <si>
    <t>S116</t>
  </si>
  <si>
    <t>S117</t>
  </si>
  <si>
    <t>S118</t>
  </si>
  <si>
    <t>NCA</t>
  </si>
  <si>
    <t>yes (150m)</t>
  </si>
  <si>
    <t>yes (50m)</t>
  </si>
  <si>
    <t>yes (10m)</t>
  </si>
  <si>
    <t>yes (2400m)</t>
  </si>
  <si>
    <t>yes (410m)</t>
  </si>
  <si>
    <t>Information whether a site is located within a nature conservation area (NCA). If a site is located within a NCA, the minimum distance to upstream agricultural fields (if present) is indicated. Except for site S47, all sites within NCAs are also located in protected areas according to the Flora-Fauna-Habitat Directive</t>
  </si>
  <si>
    <t>TUmax [log]</t>
  </si>
  <si>
    <t>SPEARpesticides</t>
  </si>
  <si>
    <t>Row Labels</t>
  </si>
  <si>
    <t>Grand Total</t>
  </si>
  <si>
    <t>Sum of TUmax [log]</t>
  </si>
  <si>
    <t>Average of SPEARpesticides</t>
  </si>
  <si>
    <t>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</si>
</sst>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rgb="FF000000"/>
      <name val="Calibri Light"/>
      <family val="2"/>
    </font>
    <font>
      <vertAlign val="subscript"/>
      <sz val="11"/>
      <color rgb="FF000000"/>
      <name val="Calibri Light"/>
      <family val="2"/>
    </font>
    <font>
      <vertAlign val="superscript"/>
      <sz val="11"/>
      <color rgb="FF000000"/>
      <name val="Calibri Light"/>
      <family val="2"/>
    </font>
    <font>
      <sz val="11"/>
      <color theme="1"/>
      <name val="Calibri Light"/>
      <family val="2"/>
    </font>
    <font>
      <sz val="10"/>
      <color rgb="FF000000"/>
      <name val="Calibri Light"/>
      <family val="2"/>
    </font>
    <font>
      <vertAlign val="subscript"/>
      <sz val="10"/>
      <color rgb="FF000000"/>
      <name val="Calibri Light"/>
      <family val="2"/>
    </font>
    <font>
      <vertAlign val="subscript"/>
      <sz val="11"/>
      <color theme="1"/>
      <name val="Calibri Light"/>
      <family val="2"/>
    </font>
  </fonts>
  <fills count="2">
    <fill>
      <patternFill patternType="none"/>
    </fill>
    <fill>
      <patternFill patternType="gray125"/>
    </fill>
  </fills>
  <borders count="4">
    <border>
      <left/>
      <right/>
      <top/>
      <bottom/>
      <diagonal/>
    </border>
    <border>
      <left/>
      <right/>
      <top style="medium">
        <color indexed="64"/>
      </top>
      <bottom/>
      <diagonal/>
    </border>
    <border>
      <left/>
      <right/>
      <top/>
      <bottom style="medium">
        <color indexed="64"/>
      </bottom>
      <diagonal/>
    </border>
    <border>
      <left/>
      <right/>
      <top/>
      <bottom style="thin">
        <color indexed="64"/>
      </bottom>
      <diagonal/>
    </border>
  </borders>
  <cellStyleXfs count="1">
    <xf numFmtId="0" fontId="0" fillId="0" borderId="0"/>
  </cellStyleXfs>
  <cellXfs count="22">
    <xf numFmtId="0" fontId="0" fillId="0" borderId="0" xfId="0"/>
    <xf numFmtId="0" fontId="1" fillId="0" borderId="1" xfId="0" applyFont="1" applyBorder="1" applyAlignment="1">
      <alignment vertical="center" wrapText="1"/>
    </xf>
    <xf numFmtId="0" fontId="1" fillId="0" borderId="1" xfId="0" applyFont="1" applyBorder="1" applyAlignment="1">
      <alignment vertical="center"/>
    </xf>
    <xf numFmtId="0" fontId="0" fillId="0" borderId="0" xfId="0" applyFont="1"/>
    <xf numFmtId="0" fontId="1" fillId="0" borderId="0" xfId="0" applyFont="1" applyAlignment="1">
      <alignment vertical="center" wrapText="1"/>
    </xf>
    <xf numFmtId="0" fontId="1" fillId="0" borderId="0" xfId="0" applyFont="1" applyAlignment="1">
      <alignment horizontal="center" vertical="center" wrapText="1"/>
    </xf>
    <xf numFmtId="0" fontId="1" fillId="0" borderId="0" xfId="0" applyFont="1" applyAlignment="1">
      <alignment vertical="center"/>
    </xf>
    <xf numFmtId="0" fontId="1" fillId="0" borderId="2" xfId="0" applyFont="1" applyBorder="1" applyAlignment="1">
      <alignment vertical="center" wrapText="1"/>
    </xf>
    <xf numFmtId="0" fontId="1" fillId="0" borderId="2" xfId="0" applyFont="1" applyBorder="1" applyAlignment="1">
      <alignment vertical="center"/>
    </xf>
    <xf numFmtId="0" fontId="1" fillId="0" borderId="0" xfId="0" applyFont="1" applyBorder="1" applyAlignment="1">
      <alignment vertical="center" wrapText="1"/>
    </xf>
    <xf numFmtId="0" fontId="1" fillId="0" borderId="0" xfId="0" applyFont="1" applyBorder="1" applyAlignment="1">
      <alignment horizontal="center" vertical="center" wrapText="1"/>
    </xf>
    <xf numFmtId="0" fontId="1" fillId="0" borderId="0" xfId="0" applyFont="1" applyBorder="1" applyAlignment="1">
      <alignment vertical="center"/>
    </xf>
    <xf numFmtId="0" fontId="4" fillId="0" borderId="0" xfId="0" applyFont="1"/>
    <xf numFmtId="0" fontId="4" fillId="0" borderId="3" xfId="0" applyFont="1" applyBorder="1"/>
    <xf numFmtId="0" fontId="0" fillId="0" borderId="0" xfId="0" applyFont="1" applyAlignment="1">
      <alignment vertical="center"/>
    </xf>
    <xf numFmtId="0" fontId="0" fillId="0" borderId="3" xfId="0" applyBorder="1"/>
    <xf numFmtId="0" fontId="5" fillId="0" borderId="0" xfId="0" applyFont="1" applyAlignment="1">
      <alignment vertical="center"/>
    </xf>
    <xf numFmtId="0" fontId="5" fillId="0" borderId="0" xfId="0" applyFont="1" applyAlignment="1">
      <alignment vertical="center" wrapText="1"/>
    </xf>
    <xf numFmtId="0" fontId="4" fillId="0" borderId="0" xfId="0" applyFont="1" applyBorder="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DE"/>
        </a:p>
      </c:txPr>
    </c:title>
    <c:autoTitleDeleted val="0"/>
    <c:plotArea>
      <c:layout/>
      <c:scatterChart>
        <c:scatterStyle val="lineMarker"/>
        <c:varyColors val="0"/>
        <c:ser>
          <c:idx val="0"/>
          <c:order val="0"/>
          <c:tx>
            <c:strRef>
              <c:f>SPEAR_TUmax_plot!$C$1</c:f>
              <c:strCache>
                <c:ptCount val="1"/>
                <c:pt idx="0">
                  <c:v>SPEARpesticides</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40271478565179353"/>
                  <c:y val="-0.4047984106153397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trendlineLbl>
          </c:trendline>
          <c:xVal>
            <c:numRef>
              <c:f>SPEAR_TUmax_plot!$B$2:$B$113</c:f>
              <c:numCache>
                <c:formatCode>General</c:formatCode>
                <c:ptCount val="112"/>
                <c:pt idx="0">
                  <c:v>-3.55</c:v>
                </c:pt>
                <c:pt idx="1">
                  <c:v>-2.4500000000000002</c:v>
                </c:pt>
                <c:pt idx="2">
                  <c:v>-4.08</c:v>
                </c:pt>
                <c:pt idx="3">
                  <c:v>-7.96</c:v>
                </c:pt>
                <c:pt idx="4">
                  <c:v>-3.74</c:v>
                </c:pt>
                <c:pt idx="5">
                  <c:v>-4.09</c:v>
                </c:pt>
                <c:pt idx="6">
                  <c:v>-3.28</c:v>
                </c:pt>
                <c:pt idx="7">
                  <c:v>-3.23</c:v>
                </c:pt>
                <c:pt idx="8">
                  <c:v>-2.13</c:v>
                </c:pt>
                <c:pt idx="9">
                  <c:v>-1.68</c:v>
                </c:pt>
                <c:pt idx="10">
                  <c:v>-5</c:v>
                </c:pt>
                <c:pt idx="11">
                  <c:v>-4.08</c:v>
                </c:pt>
                <c:pt idx="12">
                  <c:v>-1.7</c:v>
                </c:pt>
                <c:pt idx="13">
                  <c:v>-1.68</c:v>
                </c:pt>
                <c:pt idx="14">
                  <c:v>-5</c:v>
                </c:pt>
                <c:pt idx="15">
                  <c:v>-8.86</c:v>
                </c:pt>
                <c:pt idx="16">
                  <c:v>-5</c:v>
                </c:pt>
                <c:pt idx="17">
                  <c:v>-3.47</c:v>
                </c:pt>
                <c:pt idx="18">
                  <c:v>-2.52</c:v>
                </c:pt>
                <c:pt idx="19">
                  <c:v>-5</c:v>
                </c:pt>
                <c:pt idx="20">
                  <c:v>-2.4900000000000002</c:v>
                </c:pt>
                <c:pt idx="21">
                  <c:v>-2.52</c:v>
                </c:pt>
                <c:pt idx="22">
                  <c:v>-2.5499999999999998</c:v>
                </c:pt>
                <c:pt idx="23">
                  <c:v>-2.8</c:v>
                </c:pt>
                <c:pt idx="24">
                  <c:v>-1.43</c:v>
                </c:pt>
                <c:pt idx="25">
                  <c:v>-2.2200000000000002</c:v>
                </c:pt>
                <c:pt idx="26">
                  <c:v>-2.95</c:v>
                </c:pt>
                <c:pt idx="27">
                  <c:v>-3.08</c:v>
                </c:pt>
                <c:pt idx="28">
                  <c:v>-3.38</c:v>
                </c:pt>
                <c:pt idx="29">
                  <c:v>-3.07</c:v>
                </c:pt>
                <c:pt idx="30">
                  <c:v>-1.56</c:v>
                </c:pt>
                <c:pt idx="31">
                  <c:v>-1.43</c:v>
                </c:pt>
                <c:pt idx="32">
                  <c:v>-1.77</c:v>
                </c:pt>
                <c:pt idx="33">
                  <c:v>-2.4500000000000002</c:v>
                </c:pt>
                <c:pt idx="34">
                  <c:v>-2.57</c:v>
                </c:pt>
                <c:pt idx="35">
                  <c:v>-3.57</c:v>
                </c:pt>
                <c:pt idx="36">
                  <c:v>-2.83</c:v>
                </c:pt>
                <c:pt idx="37">
                  <c:v>-2.57</c:v>
                </c:pt>
                <c:pt idx="38">
                  <c:v>-3.2</c:v>
                </c:pt>
                <c:pt idx="39">
                  <c:v>0.35</c:v>
                </c:pt>
                <c:pt idx="40">
                  <c:v>-1.47</c:v>
                </c:pt>
                <c:pt idx="41">
                  <c:v>-2.62</c:v>
                </c:pt>
                <c:pt idx="42">
                  <c:v>-1.99</c:v>
                </c:pt>
                <c:pt idx="43">
                  <c:v>-3.31</c:v>
                </c:pt>
                <c:pt idx="44">
                  <c:v>-2.38</c:v>
                </c:pt>
                <c:pt idx="45">
                  <c:v>-3.05</c:v>
                </c:pt>
                <c:pt idx="46">
                  <c:v>-1.26</c:v>
                </c:pt>
                <c:pt idx="47">
                  <c:v>-1.85</c:v>
                </c:pt>
                <c:pt idx="48">
                  <c:v>-2.5499999999999998</c:v>
                </c:pt>
                <c:pt idx="49">
                  <c:v>-1.9</c:v>
                </c:pt>
                <c:pt idx="50">
                  <c:v>-1.58</c:v>
                </c:pt>
                <c:pt idx="51">
                  <c:v>-2.39</c:v>
                </c:pt>
                <c:pt idx="52">
                  <c:v>-3.4699999999999998</c:v>
                </c:pt>
                <c:pt idx="53">
                  <c:v>-3.45</c:v>
                </c:pt>
                <c:pt idx="54">
                  <c:v>-3.14</c:v>
                </c:pt>
                <c:pt idx="55">
                  <c:v>-3.63</c:v>
                </c:pt>
                <c:pt idx="56">
                  <c:v>-1.66</c:v>
                </c:pt>
                <c:pt idx="57">
                  <c:v>-2.37</c:v>
                </c:pt>
                <c:pt idx="58">
                  <c:v>-2.92</c:v>
                </c:pt>
                <c:pt idx="59">
                  <c:v>-3.14</c:v>
                </c:pt>
                <c:pt idx="60">
                  <c:v>-2.5099999999999998</c:v>
                </c:pt>
                <c:pt idx="61">
                  <c:v>-1.31</c:v>
                </c:pt>
                <c:pt idx="62">
                  <c:v>-1.7</c:v>
                </c:pt>
                <c:pt idx="63">
                  <c:v>-4.3900000000000006</c:v>
                </c:pt>
                <c:pt idx="64">
                  <c:v>-1.67</c:v>
                </c:pt>
                <c:pt idx="65">
                  <c:v>-0.64</c:v>
                </c:pt>
                <c:pt idx="66">
                  <c:v>-1.31</c:v>
                </c:pt>
                <c:pt idx="67">
                  <c:v>-0.22</c:v>
                </c:pt>
                <c:pt idx="68">
                  <c:v>-1.68</c:v>
                </c:pt>
                <c:pt idx="69">
                  <c:v>-3.51</c:v>
                </c:pt>
                <c:pt idx="70">
                  <c:v>-1.89</c:v>
                </c:pt>
                <c:pt idx="71">
                  <c:v>-3.73</c:v>
                </c:pt>
                <c:pt idx="72">
                  <c:v>-3.13</c:v>
                </c:pt>
                <c:pt idx="73">
                  <c:v>-2.69</c:v>
                </c:pt>
                <c:pt idx="74">
                  <c:v>-3.66</c:v>
                </c:pt>
                <c:pt idx="75">
                  <c:v>-2.5499999999999998</c:v>
                </c:pt>
                <c:pt idx="76">
                  <c:v>-3.19</c:v>
                </c:pt>
                <c:pt idx="77">
                  <c:v>-3.03</c:v>
                </c:pt>
                <c:pt idx="78">
                  <c:v>-1.62</c:v>
                </c:pt>
                <c:pt idx="79">
                  <c:v>-1.53</c:v>
                </c:pt>
                <c:pt idx="80">
                  <c:v>-2.1</c:v>
                </c:pt>
                <c:pt idx="81">
                  <c:v>-1.26</c:v>
                </c:pt>
                <c:pt idx="82">
                  <c:v>-2.33</c:v>
                </c:pt>
                <c:pt idx="83">
                  <c:v>-1.04</c:v>
                </c:pt>
                <c:pt idx="84">
                  <c:v>-2.58</c:v>
                </c:pt>
                <c:pt idx="85">
                  <c:v>-2.62</c:v>
                </c:pt>
                <c:pt idx="86">
                  <c:v>-4.1399999999999997</c:v>
                </c:pt>
                <c:pt idx="87">
                  <c:v>-1.55</c:v>
                </c:pt>
                <c:pt idx="88">
                  <c:v>-4.25</c:v>
                </c:pt>
                <c:pt idx="89">
                  <c:v>-1.42</c:v>
                </c:pt>
                <c:pt idx="90">
                  <c:v>-6.63</c:v>
                </c:pt>
                <c:pt idx="91">
                  <c:v>-2.2200000000000002</c:v>
                </c:pt>
                <c:pt idx="92">
                  <c:v>-2.1800000000000002</c:v>
                </c:pt>
                <c:pt idx="93">
                  <c:v>-2.7</c:v>
                </c:pt>
                <c:pt idx="94">
                  <c:v>-1.1599999999999999</c:v>
                </c:pt>
                <c:pt idx="95">
                  <c:v>-2.5499999999999998</c:v>
                </c:pt>
                <c:pt idx="96">
                  <c:v>-1.68</c:v>
                </c:pt>
                <c:pt idx="97">
                  <c:v>-2.61</c:v>
                </c:pt>
                <c:pt idx="98">
                  <c:v>-0.14000000000000001</c:v>
                </c:pt>
                <c:pt idx="99">
                  <c:v>-2.71</c:v>
                </c:pt>
                <c:pt idx="100">
                  <c:v>-2.12</c:v>
                </c:pt>
              </c:numCache>
            </c:numRef>
          </c:xVal>
          <c:yVal>
            <c:numRef>
              <c:f>SPEAR_TUmax_plot!$C$2:$C$113</c:f>
              <c:numCache>
                <c:formatCode>General</c:formatCode>
                <c:ptCount val="112"/>
                <c:pt idx="0">
                  <c:v>0.82</c:v>
                </c:pt>
                <c:pt idx="1">
                  <c:v>0.65</c:v>
                </c:pt>
                <c:pt idx="2">
                  <c:v>0.62</c:v>
                </c:pt>
                <c:pt idx="3">
                  <c:v>1</c:v>
                </c:pt>
                <c:pt idx="4">
                  <c:v>0.85</c:v>
                </c:pt>
                <c:pt idx="5">
                  <c:v>1.03</c:v>
                </c:pt>
                <c:pt idx="6">
                  <c:v>0.88</c:v>
                </c:pt>
                <c:pt idx="7">
                  <c:v>0.49</c:v>
                </c:pt>
                <c:pt idx="8">
                  <c:v>0.15</c:v>
                </c:pt>
                <c:pt idx="9">
                  <c:v>0.54</c:v>
                </c:pt>
                <c:pt idx="10">
                  <c:v>0.86</c:v>
                </c:pt>
                <c:pt idx="11">
                  <c:v>0.76</c:v>
                </c:pt>
                <c:pt idx="12">
                  <c:v>0.34</c:v>
                </c:pt>
                <c:pt idx="13">
                  <c:v>0.33</c:v>
                </c:pt>
                <c:pt idx="14">
                  <c:v>1.04</c:v>
                </c:pt>
                <c:pt idx="15">
                  <c:v>0.75</c:v>
                </c:pt>
                <c:pt idx="16">
                  <c:v>0.72</c:v>
                </c:pt>
                <c:pt idx="17">
                  <c:v>0.99</c:v>
                </c:pt>
                <c:pt idx="18">
                  <c:v>0.7</c:v>
                </c:pt>
                <c:pt idx="19">
                  <c:v>0.79</c:v>
                </c:pt>
                <c:pt idx="20">
                  <c:v>0.17</c:v>
                </c:pt>
                <c:pt idx="21">
                  <c:v>0.5</c:v>
                </c:pt>
                <c:pt idx="22">
                  <c:v>0.49</c:v>
                </c:pt>
                <c:pt idx="23">
                  <c:v>0.47</c:v>
                </c:pt>
                <c:pt idx="24">
                  <c:v>0.33</c:v>
                </c:pt>
                <c:pt idx="25">
                  <c:v>0.44</c:v>
                </c:pt>
                <c:pt idx="26">
                  <c:v>0.41</c:v>
                </c:pt>
                <c:pt idx="27">
                  <c:v>0.41</c:v>
                </c:pt>
                <c:pt idx="28">
                  <c:v>0.46</c:v>
                </c:pt>
                <c:pt idx="29">
                  <c:v>0.25</c:v>
                </c:pt>
                <c:pt idx="30">
                  <c:v>0.45</c:v>
                </c:pt>
                <c:pt idx="31">
                  <c:v>0</c:v>
                </c:pt>
                <c:pt idx="32">
                  <c:v>0.35</c:v>
                </c:pt>
                <c:pt idx="33">
                  <c:v>0.4</c:v>
                </c:pt>
                <c:pt idx="34">
                  <c:v>0.43</c:v>
                </c:pt>
                <c:pt idx="35">
                  <c:v>0.62</c:v>
                </c:pt>
                <c:pt idx="36">
                  <c:v>0.4</c:v>
                </c:pt>
                <c:pt idx="37">
                  <c:v>0.5</c:v>
                </c:pt>
                <c:pt idx="38">
                  <c:v>0.35</c:v>
                </c:pt>
                <c:pt idx="39">
                  <c:v>0.24</c:v>
                </c:pt>
                <c:pt idx="40">
                  <c:v>0.19</c:v>
                </c:pt>
                <c:pt idx="41">
                  <c:v>0.48</c:v>
                </c:pt>
                <c:pt idx="42">
                  <c:v>0.5</c:v>
                </c:pt>
                <c:pt idx="43">
                  <c:v>0.53</c:v>
                </c:pt>
                <c:pt idx="44">
                  <c:v>0.63</c:v>
                </c:pt>
                <c:pt idx="45">
                  <c:v>0.76</c:v>
                </c:pt>
                <c:pt idx="46">
                  <c:v>0.47</c:v>
                </c:pt>
                <c:pt idx="47">
                  <c:v>0.47</c:v>
                </c:pt>
                <c:pt idx="48">
                  <c:v>0.43</c:v>
                </c:pt>
                <c:pt idx="49">
                  <c:v>0.53</c:v>
                </c:pt>
                <c:pt idx="50">
                  <c:v>0.43</c:v>
                </c:pt>
                <c:pt idx="51">
                  <c:v>0.45</c:v>
                </c:pt>
                <c:pt idx="52">
                  <c:v>0.64</c:v>
                </c:pt>
                <c:pt idx="53">
                  <c:v>0.62</c:v>
                </c:pt>
                <c:pt idx="54">
                  <c:v>0.37</c:v>
                </c:pt>
                <c:pt idx="55">
                  <c:v>0.59</c:v>
                </c:pt>
                <c:pt idx="56">
                  <c:v>0.4</c:v>
                </c:pt>
                <c:pt idx="57">
                  <c:v>0.39</c:v>
                </c:pt>
                <c:pt idx="58">
                  <c:v>0.55000000000000004</c:v>
                </c:pt>
                <c:pt idx="59">
                  <c:v>0.51</c:v>
                </c:pt>
                <c:pt idx="60">
                  <c:v>0.41</c:v>
                </c:pt>
                <c:pt idx="61">
                  <c:v>0.44</c:v>
                </c:pt>
                <c:pt idx="62">
                  <c:v>0.47</c:v>
                </c:pt>
                <c:pt idx="63">
                  <c:v>0.39</c:v>
                </c:pt>
                <c:pt idx="64">
                  <c:v>0.53</c:v>
                </c:pt>
                <c:pt idx="65">
                  <c:v>0.21</c:v>
                </c:pt>
                <c:pt idx="66">
                  <c:v>0.49</c:v>
                </c:pt>
                <c:pt idx="67">
                  <c:v>0.09</c:v>
                </c:pt>
                <c:pt idx="68">
                  <c:v>0.42</c:v>
                </c:pt>
                <c:pt idx="69">
                  <c:v>0.16</c:v>
                </c:pt>
                <c:pt idx="70">
                  <c:v>0.3</c:v>
                </c:pt>
                <c:pt idx="71">
                  <c:v>0.27</c:v>
                </c:pt>
                <c:pt idx="72">
                  <c:v>0.53</c:v>
                </c:pt>
                <c:pt idx="73">
                  <c:v>0.42</c:v>
                </c:pt>
                <c:pt idx="74">
                  <c:v>0.41</c:v>
                </c:pt>
                <c:pt idx="75">
                  <c:v>0.75</c:v>
                </c:pt>
                <c:pt idx="76">
                  <c:v>0.65</c:v>
                </c:pt>
                <c:pt idx="77">
                  <c:v>0.57999999999999996</c:v>
                </c:pt>
                <c:pt idx="78">
                  <c:v>0.64</c:v>
                </c:pt>
                <c:pt idx="79">
                  <c:v>0.2</c:v>
                </c:pt>
                <c:pt idx="80">
                  <c:v>0.48</c:v>
                </c:pt>
                <c:pt idx="81">
                  <c:v>0.63</c:v>
                </c:pt>
                <c:pt idx="82">
                  <c:v>0.67</c:v>
                </c:pt>
                <c:pt idx="83">
                  <c:v>0.56000000000000005</c:v>
                </c:pt>
                <c:pt idx="84">
                  <c:v>0.37</c:v>
                </c:pt>
                <c:pt idx="85">
                  <c:v>0.78</c:v>
                </c:pt>
                <c:pt idx="86">
                  <c:v>0.28999999999999998</c:v>
                </c:pt>
                <c:pt idx="87">
                  <c:v>0.35</c:v>
                </c:pt>
                <c:pt idx="88">
                  <c:v>0.46</c:v>
                </c:pt>
                <c:pt idx="89">
                  <c:v>0.21</c:v>
                </c:pt>
                <c:pt idx="90">
                  <c:v>0.42</c:v>
                </c:pt>
                <c:pt idx="91">
                  <c:v>0.5</c:v>
                </c:pt>
                <c:pt idx="92">
                  <c:v>0.45</c:v>
                </c:pt>
                <c:pt idx="93">
                  <c:v>0.39</c:v>
                </c:pt>
                <c:pt idx="94">
                  <c:v>0.32</c:v>
                </c:pt>
                <c:pt idx="95">
                  <c:v>0.46</c:v>
                </c:pt>
                <c:pt idx="96">
                  <c:v>0.53</c:v>
                </c:pt>
                <c:pt idx="97">
                  <c:v>0.5</c:v>
                </c:pt>
                <c:pt idx="98">
                  <c:v>0.32</c:v>
                </c:pt>
                <c:pt idx="99">
                  <c:v>0.3</c:v>
                </c:pt>
                <c:pt idx="100">
                  <c:v>0.38</c:v>
                </c:pt>
              </c:numCache>
            </c:numRef>
          </c:yVal>
          <c:smooth val="0"/>
          <c:extLst>
            <c:ext xmlns:c16="http://schemas.microsoft.com/office/drawing/2014/chart" uri="{C3380CC4-5D6E-409C-BE32-E72D297353CC}">
              <c16:uniqueId val="{00000000-1E63-4446-BE12-7F535ABF89A9}"/>
            </c:ext>
          </c:extLst>
        </c:ser>
        <c:dLbls>
          <c:showLegendKey val="0"/>
          <c:showVal val="0"/>
          <c:showCatName val="0"/>
          <c:showSerName val="0"/>
          <c:showPercent val="0"/>
          <c:showBubbleSize val="0"/>
        </c:dLbls>
        <c:axId val="1177274207"/>
        <c:axId val="1177272543"/>
      </c:scatterChart>
      <c:valAx>
        <c:axId val="11772742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TUmax(log)</a:t>
                </a:r>
              </a:p>
            </c:rich>
          </c:tx>
          <c:layout>
            <c:manualLayout>
              <c:xMode val="edge"/>
              <c:yMode val="edge"/>
              <c:x val="0.30820800524934383"/>
              <c:y val="0.8833100029163021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1177272543"/>
        <c:crosses val="autoZero"/>
        <c:crossBetween val="midCat"/>
      </c:valAx>
      <c:valAx>
        <c:axId val="11772725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SPEARpesticide</a:t>
                </a:r>
              </a:p>
            </c:rich>
          </c:tx>
          <c:layout>
            <c:manualLayout>
              <c:xMode val="edge"/>
              <c:yMode val="edge"/>
              <c:x val="2.7777777777777776E-2"/>
              <c:y val="0.4127701224846894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117727420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259555</xdr:colOff>
      <xdr:row>5</xdr:row>
      <xdr:rowOff>78581</xdr:rowOff>
    </xdr:from>
    <xdr:to>
      <xdr:col>12</xdr:col>
      <xdr:colOff>297655</xdr:colOff>
      <xdr:row>20</xdr:row>
      <xdr:rowOff>107156</xdr:rowOff>
    </xdr:to>
    <xdr:graphicFrame macro="">
      <xdr:nvGraphicFramePr>
        <xdr:cNvPr id="4" name="Chart 3">
          <a:extLst>
            <a:ext uri="{FF2B5EF4-FFF2-40B4-BE49-F238E27FC236}">
              <a16:creationId xmlns:a16="http://schemas.microsoft.com/office/drawing/2014/main" id="{49E9C035-B3DF-46B7-952C-1FD6797E53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nh" refreshedDate="45802.622108101852" createdVersion="7" refreshedVersion="7" minRefreshableVersion="3" recordCount="125" xr:uid="{66A4EC0E-6E1B-4D91-9B9B-652ECC401285}">
  <cacheSource type="worksheet">
    <worksheetSource ref="A1:V1048576" sheet="Site Parameters"/>
  </cacheSource>
  <cacheFields count="22">
    <cacheField name="Site ID" numFmtId="0">
      <sharedItems containsBlank="1" count="102">
        <s v="S1"/>
        <s v="S2"/>
        <s v="S3"/>
        <s v="S4"/>
        <s v="S5"/>
        <s v="S6"/>
        <s v="S7"/>
        <s v="S8"/>
        <s v="S9"/>
        <s v="S10"/>
        <s v="S11"/>
        <s v="S12"/>
        <s v="S13"/>
        <s v="S14"/>
        <s v="S15"/>
        <s v="S16"/>
        <s v="S17"/>
        <s v="S18"/>
        <s v="S19"/>
        <s v="S20"/>
        <s v="S21"/>
        <s v="S22"/>
        <s v="S23"/>
        <s v="S24"/>
        <s v="S25"/>
        <s v="S26"/>
        <s v="S27"/>
        <s v="S28"/>
        <s v="S29"/>
        <s v="S30"/>
        <s v="S31"/>
        <s v="S32"/>
        <s v="S33"/>
        <s v="S34"/>
        <s v="S35"/>
        <s v="S36"/>
        <s v="S37"/>
        <s v="S38"/>
        <s v="S39"/>
        <s v="S40"/>
        <s v="S41"/>
        <s v="S42"/>
        <s v="S43"/>
        <s v="S44"/>
        <s v="S45"/>
        <s v="S46"/>
        <s v="S47"/>
        <s v="S48"/>
        <s v="S49"/>
        <s v="S50"/>
        <s v="S51"/>
        <s v="S52"/>
        <s v="S53"/>
        <s v="S54"/>
        <s v="S55"/>
        <s v="S56"/>
        <s v="S57"/>
        <s v="S58"/>
        <s v="S59"/>
        <s v="S60"/>
        <s v="S61"/>
        <s v="S62"/>
        <s v="S63"/>
        <s v="S64"/>
        <s v="S65"/>
        <s v="S66"/>
        <s v="S67"/>
        <s v="S68"/>
        <s v="S69"/>
        <s v="S70"/>
        <s v="S71"/>
        <s v="S72"/>
        <s v="S73"/>
        <s v="S74"/>
        <s v="S75"/>
        <s v="S76"/>
        <s v="S77"/>
        <s v="S78"/>
        <s v="S79"/>
        <s v="S80"/>
        <s v="S81"/>
        <s v="S82"/>
        <s v="S83"/>
        <s v="S84"/>
        <s v="S85"/>
        <s v="S86"/>
        <s v="S104"/>
        <s v="S105"/>
        <s v="S106"/>
        <s v="S107"/>
        <s v="S108"/>
        <s v="S109"/>
        <s v="S110"/>
        <s v="S111"/>
        <s v="S112"/>
        <s v="S113"/>
        <s v="S114"/>
        <s v="S115"/>
        <s v="S116"/>
        <s v="S117"/>
        <s v="S118"/>
        <m/>
      </sharedItems>
    </cacheField>
    <cacheField name="Year" numFmtId="0">
      <sharedItems containsString="0" containsBlank="1" containsNumber="1" containsInteger="1" minValue="2018" maxValue="2019"/>
    </cacheField>
    <cacheField name="Catchment area [km2]" numFmtId="0">
      <sharedItems containsString="0" containsBlank="1" containsNumber="1" minValue="0.9" maxValue="32.200000000000003"/>
    </cacheField>
    <cacheField name="Agricultural land cover [%]" numFmtId="0">
      <sharedItems containsString="0" containsBlank="1" containsNumber="1" containsInteger="1" minValue="0" maxValue="100"/>
    </cacheField>
    <cacheField name="WWTP" numFmtId="0">
      <sharedItems containsBlank="1"/>
    </cacheField>
    <cacheField name="NCA" numFmtId="0">
      <sharedItems containsBlank="1"/>
    </cacheField>
    <cacheField name="TUmax [log]" numFmtId="0">
      <sharedItems containsString="0" containsBlank="1" containsNumber="1" minValue="-5" maxValue="0.35"/>
    </cacheField>
    <cacheField name="RACmax [log]" numFmtId="0">
      <sharedItems containsString="0" containsBlank="1" containsNumber="1" minValue="-3" maxValue="2.77"/>
    </cacheField>
    <cacheField name="NO2 [mg/L]" numFmtId="0">
      <sharedItems containsString="0" containsBlank="1" containsNumber="1" minValue="0" maxValue="2.74"/>
    </cacheField>
    <cacheField name="NO3 [mg/L]" numFmtId="0">
      <sharedItems containsString="0" containsBlank="1" containsNumber="1" minValue="0" maxValue="553.48"/>
    </cacheField>
    <cacheField name="NH4 [mg/L]" numFmtId="0">
      <sharedItems containsString="0" containsBlank="1" containsNumber="1" minValue="0" maxValue="4.5199999999999996"/>
    </cacheField>
    <cacheField name="PO4 [mg/L]" numFmtId="0">
      <sharedItems containsString="0" containsBlank="1" containsNumber="1" minValue="0" maxValue="16.11"/>
    </cacheField>
    <cacheField name="TN [mg/L]" numFmtId="0">
      <sharedItems containsString="0" containsBlank="1" containsNumber="1" minValue="0.75" maxValue="40.14"/>
    </cacheField>
    <cacheField name="TP [mg/L]" numFmtId="0">
      <sharedItems containsString="0" containsBlank="1" containsNumber="1" minValue="0.01" maxValue="3.77"/>
    </cacheField>
    <cacheField name="TUmetal [log]" numFmtId="0">
      <sharedItems containsString="0" containsBlank="1" containsNumber="1" minValue="-2.98" maxValue="0.48"/>
    </cacheField>
    <cacheField name="Temperature [°C]" numFmtId="0">
      <sharedItems containsString="0" containsBlank="1" containsNumber="1" minValue="14.4" maxValue="24.6"/>
    </cacheField>
    <cacheField name="Flow velocity [m/s]" numFmtId="0">
      <sharedItems containsString="0" containsBlank="1" containsNumber="1" minValue="0.01" maxValue="0.64"/>
    </cacheField>
    <cacheField name="Dissolved O2 [mg/L]" numFmtId="0">
      <sharedItems containsString="0" containsBlank="1" containsNumber="1" minValue="2.95" maxValue="9.84"/>
    </cacheField>
    <cacheField name="pH" numFmtId="0">
      <sharedItems containsString="0" containsBlank="1" containsNumber="1" minValue="6.41" maxValue="8.49"/>
    </cacheField>
    <cacheField name="Morphology" numFmtId="0">
      <sharedItems containsString="0" containsBlank="1" containsNumber="1" minValue="1.4" maxValue="5.8"/>
    </cacheField>
    <cacheField name="Bed habitat structure" numFmtId="0">
      <sharedItems containsString="0" containsBlank="1" containsNumber="1" containsInteger="1" minValue="0" maxValue="100"/>
    </cacheField>
    <cacheField name="SPEARpesticides" numFmtId="0">
      <sharedItems containsString="0" containsBlank="1" containsNumber="1" minValue="0" maxValue="1.0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5">
  <r>
    <x v="0"/>
    <n v="2018"/>
    <n v="20.7"/>
    <n v="71"/>
    <s v="no"/>
    <s v="no"/>
    <n v="-3.55"/>
    <n v="-1.1200000000000001"/>
    <n v="0"/>
    <n v="0"/>
    <n v="0.23"/>
    <n v="0.24"/>
    <n v="0.97"/>
    <n v="0.06"/>
    <n v="-0.56999999999999995"/>
    <n v="17.600000000000001"/>
    <n v="0.39"/>
    <n v="8.08"/>
    <n v="8.19"/>
    <n v="3.1"/>
    <n v="55"/>
    <n v="0.82"/>
  </r>
  <r>
    <x v="1"/>
    <n v="2019"/>
    <n v="14.4"/>
    <n v="95"/>
    <s v="no"/>
    <s v="no"/>
    <n v="-2.95"/>
    <n v="-0.52"/>
    <n v="0.2"/>
    <n v="6.91"/>
    <n v="2.57"/>
    <n v="11.89"/>
    <n v="9.6300000000000008"/>
    <n v="0.62"/>
    <n v="-0.72"/>
    <n v="20.6"/>
    <n v="0.09"/>
    <n v="7.28"/>
    <n v="7.85"/>
    <n v="2.5"/>
    <n v="20"/>
    <n v="0.41"/>
  </r>
  <r>
    <x v="2"/>
    <n v="2019"/>
    <n v="4.8"/>
    <n v="70"/>
    <s v="no"/>
    <s v="no"/>
    <n v="-2.57"/>
    <n v="-0.28000000000000003"/>
    <n v="0.17"/>
    <n v="12.13"/>
    <n v="0.3"/>
    <n v="1.18"/>
    <n v="2.4"/>
    <n v="0.2"/>
    <n v="-0.12"/>
    <n v="19"/>
    <n v="0.26"/>
    <n v="7.28"/>
    <n v="7.61"/>
    <n v="5.2"/>
    <n v="30"/>
    <n v="0.5"/>
  </r>
  <r>
    <x v="3"/>
    <n v="2018"/>
    <n v="9.8000000000000007"/>
    <n v="93"/>
    <s v="no"/>
    <s v="no"/>
    <n v="-2.5499999999999998"/>
    <n v="0.66"/>
    <n v="0.05"/>
    <n v="4.5"/>
    <n v="0"/>
    <n v="0.25"/>
    <n v="3.25"/>
    <n v="0.12"/>
    <n v="0.17"/>
    <n v="19.600000000000001"/>
    <n v="0.13"/>
    <n v="7.28"/>
    <n v="8.18"/>
    <n v="4.2"/>
    <n v="40"/>
    <n v="0.43"/>
  </r>
  <r>
    <x v="4"/>
    <n v="2019"/>
    <n v="17.3"/>
    <n v="95"/>
    <s v="no"/>
    <s v="yes (150m)"/>
    <n v="-3.14"/>
    <n v="0.16"/>
    <n v="0.49"/>
    <n v="65.27"/>
    <n v="1.86"/>
    <n v="16.11"/>
    <n v="21.47"/>
    <n v="0.08"/>
    <n v="-0.37"/>
    <n v="19.399999999999999"/>
    <n v="0.08"/>
    <n v="6.23"/>
    <n v="7.89"/>
    <n v="4.7"/>
    <n v="80"/>
    <n v="0.51"/>
  </r>
  <r>
    <x v="5"/>
    <n v="2018"/>
    <n v="10.8"/>
    <n v="56"/>
    <s v="no"/>
    <s v="no"/>
    <n v="-1.89"/>
    <n v="0.53"/>
    <n v="0.03"/>
    <n v="2.08"/>
    <n v="0.4"/>
    <n v="0.95"/>
    <n v="2.98"/>
    <n v="0.26"/>
    <n v="-7.0000000000000007E-2"/>
    <n v="21.8"/>
    <n v="0.1"/>
    <n v="4.83"/>
    <n v="7.77"/>
    <n v="3.5"/>
    <n v="95"/>
    <n v="0.3"/>
  </r>
  <r>
    <x v="6"/>
    <n v="2019"/>
    <n v="19.100000000000001"/>
    <n v="48"/>
    <s v="no"/>
    <s v="no"/>
    <n v="-1.26"/>
    <n v="1.17"/>
    <n v="7.0000000000000007E-2"/>
    <n v="5.53"/>
    <n v="0.03"/>
    <n v="0.17"/>
    <n v="2.29"/>
    <n v="0.11"/>
    <n v="-0.15"/>
    <n v="20.6"/>
    <n v="0.3"/>
    <n v="7.78"/>
    <n v="7.29"/>
    <n v="5.2"/>
    <n v="90"/>
    <n v="0.63"/>
  </r>
  <r>
    <x v="7"/>
    <n v="2019"/>
    <n v="17.5"/>
    <n v="71"/>
    <s v="no"/>
    <s v="no"/>
    <n v="-2.1800000000000002"/>
    <n v="0.24"/>
    <n v="0.11"/>
    <n v="5.31"/>
    <n v="0.32"/>
    <n v="0.31"/>
    <n v="1.54"/>
    <n v="0.03"/>
    <n v="-0.56000000000000005"/>
    <n v="19.899999999999999"/>
    <n v="0.11"/>
    <n v="4.41"/>
    <n v="7.21"/>
    <n v="5.0999999999999996"/>
    <n v="70"/>
    <n v="0.45"/>
  </r>
  <r>
    <x v="8"/>
    <n v="2018"/>
    <n v="18.5"/>
    <n v="67"/>
    <s v="no"/>
    <s v="no"/>
    <n v="-2.12"/>
    <n v="0.3"/>
    <n v="1"/>
    <n v="45"/>
    <n v="0.68"/>
    <n v="1.82"/>
    <n v="15.46"/>
    <n v="0.96"/>
    <n v="-0.05"/>
    <n v="18"/>
    <n v="0.38"/>
    <n v="6.33"/>
    <n v="7.72"/>
    <n v="4.8"/>
    <n v="55"/>
    <n v="0.38"/>
  </r>
  <r>
    <x v="9"/>
    <n v="2019"/>
    <n v="19.3"/>
    <n v="64"/>
    <s v="yes"/>
    <s v="no"/>
    <n v="-2.4500000000000002"/>
    <n v="0.28000000000000003"/>
    <n v="0.21"/>
    <n v="54.17"/>
    <n v="0.1"/>
    <n v="1.05"/>
    <n v="14.67"/>
    <n v="0.54"/>
    <n v="-0.08"/>
    <n v="17.600000000000001"/>
    <n v="0.19"/>
    <n v="6.97"/>
    <n v="7.13"/>
    <n v="2.2000000000000002"/>
    <n v="75"/>
    <n v="0.65"/>
  </r>
  <r>
    <x v="10"/>
    <n v="2019"/>
    <n v="5.9"/>
    <n v="94"/>
    <s v="no"/>
    <s v="no"/>
    <n v="-2.13"/>
    <n v="0.77"/>
    <n v="0.37"/>
    <n v="40.090000000000003"/>
    <n v="1.76"/>
    <n v="0.83"/>
    <n v="12.96"/>
    <n v="1.38"/>
    <n v="-0.11"/>
    <n v="16.600000000000001"/>
    <n v="0.36"/>
    <n v="7.77"/>
    <n v="7.12"/>
    <n v="4.5"/>
    <n v="0"/>
    <n v="0.15"/>
  </r>
  <r>
    <x v="11"/>
    <n v="2018"/>
    <n v="5.9"/>
    <n v="88"/>
    <s v="no"/>
    <s v="no"/>
    <n v="-2.52"/>
    <n v="0.23"/>
    <n v="0.95"/>
    <n v="32"/>
    <n v="0.18"/>
    <n v="0.68"/>
    <n v="10.83"/>
    <n v="0.28000000000000003"/>
    <n v="-0.37"/>
    <n v="17.7"/>
    <n v="0.31"/>
    <n v="7.14"/>
    <n v="7.98"/>
    <n v="4.2"/>
    <n v="55"/>
    <n v="0.7"/>
  </r>
  <r>
    <x v="12"/>
    <n v="2018"/>
    <n v="4.5999999999999996"/>
    <n v="96"/>
    <s v="no"/>
    <s v="no"/>
    <n v="-5"/>
    <n v="-2.68"/>
    <n v="0.36"/>
    <n v="0.8"/>
    <n v="0"/>
    <n v="0.08"/>
    <n v="7.84"/>
    <n v="0.02"/>
    <n v="-0.87"/>
    <n v="19.8"/>
    <n v="0.19"/>
    <n v="5.17"/>
    <n v="7.8"/>
    <n v="4.4000000000000004"/>
    <n v="15"/>
    <n v="0.79"/>
  </r>
  <r>
    <x v="13"/>
    <n v="2019"/>
    <n v="13"/>
    <n v="83"/>
    <s v="yes"/>
    <s v="no"/>
    <n v="-2.4900000000000002"/>
    <n v="0.63"/>
    <n v="0.56000000000000005"/>
    <n v="48.72"/>
    <n v="0.25"/>
    <n v="2.09"/>
    <n v="16.16"/>
    <n v="0.37"/>
    <n v="-0.26"/>
    <n v="18.100000000000001"/>
    <n v="0.42"/>
    <n v="8.61"/>
    <n v="6.75"/>
    <n v="5.4"/>
    <n v="25"/>
    <n v="0.17"/>
  </r>
  <r>
    <x v="14"/>
    <n v="2019"/>
    <n v="14.5"/>
    <n v="73"/>
    <s v="no"/>
    <s v="no"/>
    <n v="-2.52"/>
    <n v="0.38"/>
    <n v="0.13"/>
    <n v="35.770000000000003"/>
    <n v="0.18"/>
    <n v="0.27"/>
    <n v="12.5"/>
    <n v="0.36"/>
    <n v="-0.11"/>
    <n v="18.2"/>
    <n v="0.36"/>
    <n v="7.88"/>
    <n v="7.28"/>
    <n v="3"/>
    <n v="95"/>
    <n v="0.5"/>
  </r>
  <r>
    <x v="15"/>
    <n v="2019"/>
    <n v="12.2"/>
    <n v="87"/>
    <s v="no"/>
    <s v="no"/>
    <n v="-2.5499999999999998"/>
    <n v="-0.05"/>
    <n v="0.33"/>
    <n v="32.83"/>
    <n v="0.16"/>
    <n v="0.54"/>
    <n v="9.26"/>
    <n v="0.13"/>
    <n v="-0.7"/>
    <n v="18.2"/>
    <n v="0.5"/>
    <n v="8.27"/>
    <n v="7.16"/>
    <n v="2.4"/>
    <n v="60"/>
    <n v="0.49"/>
  </r>
  <r>
    <x v="16"/>
    <n v="2019"/>
    <n v="10.1"/>
    <n v="99"/>
    <s v="no"/>
    <s v="no"/>
    <n v="-2.8"/>
    <n v="-0.5"/>
    <n v="0.25"/>
    <n v="24.21"/>
    <n v="0.34"/>
    <n v="0.56999999999999995"/>
    <n v="7.2"/>
    <n v="0.15"/>
    <n v="0.39"/>
    <n v="17.600000000000001"/>
    <n v="0.55000000000000004"/>
    <n v="8.2799999999999994"/>
    <n v="7.19"/>
    <n v="3.1"/>
    <n v="35"/>
    <n v="0.47"/>
  </r>
  <r>
    <x v="17"/>
    <n v="2018"/>
    <n v="21.2"/>
    <n v="81"/>
    <s v="yes"/>
    <s v="no"/>
    <n v="-1.43"/>
    <n v="0.99"/>
    <n v="1"/>
    <n v="64.5"/>
    <n v="1.3"/>
    <n v="0.94"/>
    <n v="9.92"/>
    <n v="0.49"/>
    <n v="-0.28000000000000003"/>
    <n v="19.100000000000001"/>
    <n v="0.19"/>
    <n v="6.03"/>
    <n v="7.86"/>
    <n v="4.3"/>
    <n v="55"/>
    <n v="0.33"/>
  </r>
  <r>
    <x v="18"/>
    <n v="2018"/>
    <n v="11.6"/>
    <n v="80"/>
    <s v="no"/>
    <s v="no"/>
    <n v="-2.2200000000000002"/>
    <n v="0.61"/>
    <n v="0.85"/>
    <n v="36.5"/>
    <n v="7.0000000000000007E-2"/>
    <n v="0.67"/>
    <n v="9.68"/>
    <n v="0.43"/>
    <n v="-0.04"/>
    <n v="18.8"/>
    <n v="0.23"/>
    <n v="7.01"/>
    <n v="8.06"/>
    <n v="4.5999999999999996"/>
    <n v="70"/>
    <n v="0.44"/>
  </r>
  <r>
    <x v="19"/>
    <n v="2019"/>
    <n v="21.9"/>
    <n v="82"/>
    <s v="yes"/>
    <s v="no"/>
    <n v="-3.08"/>
    <n v="-0.09"/>
    <n v="0.46"/>
    <n v="46.31"/>
    <n v="0.7"/>
    <n v="0.96"/>
    <n v="12.02"/>
    <n v="0.57999999999999996"/>
    <n v="-0.03"/>
    <n v="20.6"/>
    <n v="0.44"/>
    <n v="5.76"/>
    <n v="7.21"/>
    <n v="4.7"/>
    <n v="50"/>
    <n v="0.41"/>
  </r>
  <r>
    <x v="20"/>
    <n v="2019"/>
    <n v="8.1"/>
    <n v="51"/>
    <s v="no"/>
    <s v="no"/>
    <n v="-3.38"/>
    <n v="-0.69"/>
    <n v="0.47"/>
    <n v="15.7"/>
    <n v="0.83"/>
    <n v="1.3"/>
    <n v="5.33"/>
    <n v="1.35"/>
    <n v="-0.32"/>
    <n v="17.8"/>
    <n v="0.14000000000000001"/>
    <n v="8.19"/>
    <n v="6.66"/>
    <n v="2.2999999999999998"/>
    <n v="100"/>
    <n v="0.46"/>
  </r>
  <r>
    <x v="21"/>
    <n v="2019"/>
    <n v="11.4"/>
    <n v="60"/>
    <s v="no"/>
    <s v="no"/>
    <n v="-3.07"/>
    <n v="-0.11"/>
    <n v="0.28000000000000003"/>
    <n v="15.37"/>
    <n v="0.36"/>
    <n v="0.78"/>
    <n v="5.2"/>
    <n v="0.18"/>
    <n v="-0.31"/>
    <n v="18.5"/>
    <n v="0.17"/>
    <n v="7.79"/>
    <n v="7"/>
    <n v="4.5"/>
    <n v="25"/>
    <n v="0.25"/>
  </r>
  <r>
    <x v="22"/>
    <n v="2019"/>
    <n v="17.600000000000001"/>
    <n v="41"/>
    <s v="no"/>
    <s v="no"/>
    <n v="-1.56"/>
    <n v="0.87"/>
    <n v="0.32"/>
    <n v="15.67"/>
    <n v="0.16"/>
    <n v="0.76"/>
    <n v="4.3899999999999997"/>
    <n v="0.28999999999999998"/>
    <n v="-0.05"/>
    <n v="17.5"/>
    <n v="0.34"/>
    <n v="8.75"/>
    <n v="6.41"/>
    <n v="4.2"/>
    <n v="90"/>
    <n v="0.45"/>
  </r>
  <r>
    <x v="23"/>
    <n v="2018"/>
    <n v="22.6"/>
    <n v="83"/>
    <s v="no"/>
    <s v="no"/>
    <n v="-1.43"/>
    <n v="0.99"/>
    <n v="1"/>
    <n v="40"/>
    <n v="0.71"/>
    <n v="0.8"/>
    <n v="7.49"/>
    <n v="0.11"/>
    <n v="-0.43"/>
    <n v="21.1"/>
    <n v="0.45"/>
    <n v="7.22"/>
    <n v="7.88"/>
    <n v="4.5"/>
    <n v="25"/>
    <n v="0"/>
  </r>
  <r>
    <x v="24"/>
    <n v="2018"/>
    <n v="5.7"/>
    <n v="60"/>
    <s v="no"/>
    <s v="no"/>
    <n v="-1.77"/>
    <n v="0.89"/>
    <n v="0.64"/>
    <n v="25"/>
    <n v="1"/>
    <n v="3"/>
    <n v="4.9000000000000004"/>
    <n v="1.0900000000000001"/>
    <n v="-0.5"/>
    <n v="18.7"/>
    <n v="0.31"/>
    <n v="6.96"/>
    <n v="7.68"/>
    <n v="2.8"/>
    <n v="40"/>
    <n v="0.35"/>
  </r>
  <r>
    <x v="25"/>
    <n v="2019"/>
    <n v="8.5"/>
    <n v="56"/>
    <s v="yes"/>
    <s v="no"/>
    <n v="-2.4500000000000002"/>
    <n v="-0.03"/>
    <n v="0.16"/>
    <n v="6.96"/>
    <n v="0.37"/>
    <n v="3.59"/>
    <n v="2.5499999999999998"/>
    <n v="0.16"/>
    <n v="-1"/>
    <n v="18.8"/>
    <n v="0.12"/>
    <n v="4.53"/>
    <n v="7.93"/>
    <n v="4.5999999999999996"/>
    <n v="65"/>
    <n v="0.4"/>
  </r>
  <r>
    <x v="26"/>
    <n v="2018"/>
    <n v="23.7"/>
    <n v="86"/>
    <s v="no"/>
    <s v="no"/>
    <n v="-2.57"/>
    <n v="0"/>
    <n v="0.48"/>
    <n v="22.5"/>
    <n v="0"/>
    <n v="0.74"/>
    <n v="9.5"/>
    <n v="0.12"/>
    <n v="-0.66"/>
    <n v="17.7"/>
    <n v="0.32"/>
    <n v="7.24"/>
    <n v="8.3699999999999992"/>
    <n v="2.5"/>
    <n v="55"/>
    <n v="0.43"/>
  </r>
  <r>
    <x v="27"/>
    <n v="2019"/>
    <n v="10.8"/>
    <n v="96"/>
    <s v="no"/>
    <s v="no"/>
    <n v="-3.57"/>
    <n v="-1.08"/>
    <n v="0.08"/>
    <n v="5.85"/>
    <n v="0.08"/>
    <n v="1.43"/>
    <n v="1.74"/>
    <n v="0.09"/>
    <n v="-1.1299999999999999"/>
    <n v="20.399999999999999"/>
    <n v="0.13"/>
    <n v="6.39"/>
    <n v="7.67"/>
    <n v="4.5999999999999996"/>
    <n v="30"/>
    <n v="0.62"/>
  </r>
  <r>
    <x v="28"/>
    <n v="2019"/>
    <n v="12.3"/>
    <n v="84"/>
    <s v="no"/>
    <s v="no"/>
    <n v="-2.83"/>
    <n v="-0.34"/>
    <n v="0.23"/>
    <n v="17.16"/>
    <n v="0.98"/>
    <n v="2.54"/>
    <n v="5.05"/>
    <n v="0.19"/>
    <n v="-0.7"/>
    <n v="19.8"/>
    <n v="0.01"/>
    <n v="5.35"/>
    <n v="7.7"/>
    <n v="5.8"/>
    <n v="30"/>
    <n v="0.4"/>
  </r>
  <r>
    <x v="29"/>
    <n v="2019"/>
    <n v="9.1"/>
    <n v="80"/>
    <s v="no"/>
    <s v="no"/>
    <n v="-3.2"/>
    <n v="-0.2"/>
    <n v="0.37"/>
    <n v="15.21"/>
    <n v="1.1499999999999999"/>
    <n v="0.96"/>
    <n v="6.21"/>
    <n v="0.18"/>
    <n v="-0.22"/>
    <n v="18.7"/>
    <n v="0.08"/>
    <n v="4.08"/>
    <n v="7.44"/>
    <n v="3.8"/>
    <n v="80"/>
    <n v="0.35"/>
  </r>
  <r>
    <x v="30"/>
    <n v="2019"/>
    <n v="13.1"/>
    <n v="68"/>
    <s v="no"/>
    <s v="no"/>
    <n v="0.35"/>
    <n v="2.77"/>
    <n v="0.16"/>
    <n v="6.32"/>
    <n v="0.55000000000000004"/>
    <n v="0.35"/>
    <n v="3.29"/>
    <n v="0.22"/>
    <n v="-0.63"/>
    <n v="20.5"/>
    <n v="0.26"/>
    <n v="7.28"/>
    <n v="7.97"/>
    <n v="4.2"/>
    <n v="55"/>
    <n v="0.24"/>
  </r>
  <r>
    <x v="31"/>
    <n v="2018"/>
    <n v="6.6"/>
    <n v="97"/>
    <s v="no"/>
    <s v="no"/>
    <n v="-1.47"/>
    <n v="1.55"/>
    <n v="0.78"/>
    <n v="17"/>
    <n v="0.5"/>
    <n v="0.67"/>
    <n v="3.8"/>
    <n v="0.09"/>
    <n v="0.09"/>
    <n v="17.8"/>
    <n v="0.02"/>
    <n v="5.69"/>
    <n v="7.85"/>
    <n v="5"/>
    <n v="40"/>
    <n v="0.19"/>
  </r>
  <r>
    <x v="32"/>
    <n v="2018"/>
    <n v="9.4"/>
    <n v="50"/>
    <s v="no"/>
    <s v="no"/>
    <n v="-2.62"/>
    <n v="-0.01"/>
    <n v="0.12"/>
    <n v="10"/>
    <n v="0.7"/>
    <n v="0.25"/>
    <n v="3.49"/>
    <n v="0.03"/>
    <n v="-0.46"/>
    <n v="17.7"/>
    <n v="0.24"/>
    <n v="7.28"/>
    <n v="8.11"/>
    <n v="4.3"/>
    <n v="45"/>
    <n v="0.48"/>
  </r>
  <r>
    <x v="33"/>
    <n v="2018"/>
    <n v="16.8"/>
    <n v="96"/>
    <s v="no"/>
    <s v="no"/>
    <n v="-1.99"/>
    <n v="0.43"/>
    <n v="0.46"/>
    <n v="45.5"/>
    <n v="4.5199999999999996"/>
    <n v="0.25"/>
    <n v="3.33"/>
    <n v="0.06"/>
    <n v="-0.22"/>
    <n v="21.1"/>
    <n v="0.25"/>
    <n v="6.99"/>
    <n v="7.56"/>
    <n v="5.6"/>
    <n v="45"/>
    <n v="0.5"/>
  </r>
  <r>
    <x v="34"/>
    <n v="2018"/>
    <n v="11.9"/>
    <n v="83"/>
    <s v="no"/>
    <s v="no"/>
    <n v="-1.83"/>
    <n v="1.08"/>
    <n v="0.92"/>
    <n v="10"/>
    <n v="0.48"/>
    <n v="0.5"/>
    <n v="12.24"/>
    <n v="1.18"/>
    <n v="0.04"/>
    <n v="19.7"/>
    <n v="0.17"/>
    <n v="6.46"/>
    <n v="8.39"/>
    <n v="4.7"/>
    <n v="25"/>
    <n v="0.53"/>
  </r>
  <r>
    <x v="34"/>
    <n v="2019"/>
    <n v="12"/>
    <n v="83"/>
    <s v="no"/>
    <s v="no"/>
    <n v="-1.48"/>
    <n v="1.33"/>
    <n v="1.1499999999999999"/>
    <n v="35.49"/>
    <n v="1.1000000000000001"/>
    <n v="2.82"/>
    <n v="5.2"/>
    <n v="0.18"/>
    <n v="-0.3"/>
    <n v="19.600000000000001"/>
    <n v="0.27"/>
    <n v="8.66"/>
    <n v="8.2200000000000006"/>
    <n v="4.7"/>
    <n v="15"/>
    <n v="0.53"/>
  </r>
  <r>
    <x v="35"/>
    <n v="2018"/>
    <n v="9.3000000000000007"/>
    <n v="61"/>
    <s v="no"/>
    <s v="no"/>
    <n v="-2.38"/>
    <n v="0.95"/>
    <n v="0.23"/>
    <n v="10"/>
    <n v="0.25"/>
    <n v="0.25"/>
    <n v="9.61"/>
    <n v="1.03"/>
    <n v="-0.76"/>
    <n v="20.100000000000001"/>
    <n v="0.21"/>
    <n v="8.68"/>
    <n v="8.01"/>
    <n v="3.9"/>
    <n v="100"/>
    <n v="0.63"/>
  </r>
  <r>
    <x v="36"/>
    <n v="2019"/>
    <n v="16.2"/>
    <n v="79"/>
    <s v="no"/>
    <s v="yes (50m)"/>
    <n v="-3.05"/>
    <n v="-1.1599999999999999"/>
    <n v="0.13"/>
    <n v="17.28"/>
    <n v="0.13"/>
    <n v="0.22"/>
    <n v="5.66"/>
    <n v="7.0000000000000007E-2"/>
    <n v="-0.45"/>
    <n v="16.3"/>
    <n v="0.36"/>
    <n v="8.8800000000000008"/>
    <n v="7.22"/>
    <n v="3.1"/>
    <n v="80"/>
    <n v="0.76"/>
  </r>
  <r>
    <x v="37"/>
    <n v="2019"/>
    <n v="4.5"/>
    <n v="85"/>
    <s v="no"/>
    <s v="no"/>
    <n v="-1.26"/>
    <n v="1.32"/>
    <n v="0.59"/>
    <n v="100.55"/>
    <n v="0.45"/>
    <n v="1.65"/>
    <n v="24.2"/>
    <n v="0.4"/>
    <n v="-0.7"/>
    <n v="16.899999999999999"/>
    <n v="0.19"/>
    <n v="9.44"/>
    <n v="8.07"/>
    <n v="5"/>
    <n v="50"/>
    <n v="0.47"/>
  </r>
  <r>
    <x v="38"/>
    <n v="2019"/>
    <n v="7.5"/>
    <n v="92"/>
    <s v="no"/>
    <s v="no"/>
    <n v="-1.85"/>
    <n v="0.41"/>
    <n v="2.2400000000000002"/>
    <n v="42.71"/>
    <n v="1.9"/>
    <n v="10.17"/>
    <n v="13.75"/>
    <n v="3.77"/>
    <n v="-0.52"/>
    <n v="16.8"/>
    <n v="0.2"/>
    <n v="8.3000000000000007"/>
    <n v="8.1"/>
    <n v="5.0999999999999996"/>
    <n v="20"/>
    <n v="0.47"/>
  </r>
  <r>
    <x v="39"/>
    <n v="2018"/>
    <n v="16.7"/>
    <n v="70"/>
    <s v="no"/>
    <s v="no"/>
    <n v="-1.9"/>
    <n v="0.79"/>
    <n v="0.43"/>
    <n v="25"/>
    <n v="0.4"/>
    <n v="0.65"/>
    <n v="6.84"/>
    <n v="0.2"/>
    <n v="0.03"/>
    <n v="18.399999999999999"/>
    <n v="0.31"/>
    <n v="8.27"/>
    <n v="8.26"/>
    <n v="4.7"/>
    <n v="20"/>
    <n v="0.53"/>
  </r>
  <r>
    <x v="40"/>
    <n v="2018"/>
    <n v="16.399999999999999"/>
    <n v="92"/>
    <s v="no"/>
    <s v="no"/>
    <n v="-1.58"/>
    <n v="1.08"/>
    <n v="0.25"/>
    <n v="10"/>
    <n v="2.25"/>
    <n v="0.25"/>
    <n v="4.18"/>
    <n v="0.08"/>
    <n v="-0.02"/>
    <n v="16.399999999999999"/>
    <n v="0.44"/>
    <n v="8.2899999999999991"/>
    <n v="7.11"/>
    <n v="2.9"/>
    <n v="25"/>
    <n v="0.43"/>
  </r>
  <r>
    <x v="41"/>
    <n v="2018"/>
    <n v="26.6"/>
    <n v="81"/>
    <s v="no"/>
    <s v="no"/>
    <n v="-2.39"/>
    <n v="1.07"/>
    <n v="0.19"/>
    <n v="3.5"/>
    <n v="0.53"/>
    <n v="0.47"/>
    <n v="2.2400000000000002"/>
    <n v="0.12"/>
    <n v="-0.26"/>
    <n v="18.399999999999999"/>
    <n v="0.41"/>
    <n v="5.74"/>
    <n v="7.49"/>
    <n v="5.2"/>
    <n v="80"/>
    <n v="0.45"/>
  </r>
  <r>
    <x v="42"/>
    <n v="2018"/>
    <n v="4"/>
    <n v="73"/>
    <s v="no"/>
    <s v="no"/>
    <n v="-1.74"/>
    <n v="0.86"/>
    <n v="0.81"/>
    <n v="10"/>
    <n v="0.5"/>
    <n v="0.25"/>
    <n v="5.58"/>
    <n v="0.13"/>
    <n v="0.04"/>
    <n v="16.8"/>
    <n v="0.32"/>
    <n v="8.69"/>
    <n v="8.16"/>
    <n v="5"/>
    <n v="30"/>
    <n v="0.64"/>
  </r>
  <r>
    <x v="42"/>
    <n v="2019"/>
    <n v="4"/>
    <n v="73"/>
    <s v="no"/>
    <s v="no"/>
    <n v="-1.73"/>
    <n v="0.27"/>
    <n v="0.35"/>
    <n v="21.31"/>
    <n v="0.82"/>
    <n v="2.5099999999999998"/>
    <n v="5.2"/>
    <n v="0.18"/>
    <n v="-0.47"/>
    <n v="17.399999999999999"/>
    <n v="0.24"/>
    <n v="7.62"/>
    <n v="7.69"/>
    <n v="5"/>
    <n v="30"/>
    <n v="0.64"/>
  </r>
  <r>
    <x v="43"/>
    <n v="2019"/>
    <n v="21"/>
    <n v="76"/>
    <s v="no"/>
    <s v="no"/>
    <n v="-3.45"/>
    <n v="-0.74"/>
    <n v="1.22"/>
    <n v="26.93"/>
    <n v="0.19"/>
    <n v="0.32"/>
    <n v="8.7100000000000009"/>
    <n v="0.04"/>
    <n v="-0.73"/>
    <n v="18.399999999999999"/>
    <n v="0.32"/>
    <n v="8.19"/>
    <n v="6.77"/>
    <n v="4.0999999999999996"/>
    <n v="30"/>
    <n v="0.62"/>
  </r>
  <r>
    <x v="44"/>
    <n v="2019"/>
    <n v="19.100000000000001"/>
    <n v="89"/>
    <s v="no"/>
    <s v="no"/>
    <n v="-3.14"/>
    <n v="-1.1599999999999999"/>
    <n v="0.82"/>
    <n v="110.96"/>
    <n v="2.13"/>
    <n v="0.17"/>
    <n v="10.8"/>
    <n v="0.06"/>
    <n v="-0.09"/>
    <n v="21"/>
    <n v="0.26"/>
    <n v="6.96"/>
    <n v="6.59"/>
    <n v="4.8"/>
    <n v="5"/>
    <n v="0.37"/>
  </r>
  <r>
    <x v="45"/>
    <n v="2018"/>
    <n v="20.6"/>
    <n v="34"/>
    <s v="no"/>
    <s v="no"/>
    <n v="-3.63"/>
    <n v="-0.22"/>
    <n v="0.81"/>
    <n v="8"/>
    <n v="0.4"/>
    <n v="0.45"/>
    <n v="6.51"/>
    <n v="0.02"/>
    <n v="-0.59"/>
    <n v="14.9"/>
    <n v="0.64"/>
    <n v="9.2200000000000006"/>
    <n v="8.23"/>
    <n v="3.8"/>
    <n v="65"/>
    <n v="0.59"/>
  </r>
  <r>
    <x v="46"/>
    <n v="2018"/>
    <n v="13.6"/>
    <n v="97"/>
    <s v="yes"/>
    <s v="yes (10m)"/>
    <n v="-1.66"/>
    <n v="0.77"/>
    <n v="0.22"/>
    <n v="20.5"/>
    <n v="0.22"/>
    <n v="0"/>
    <n v="9.5399999999999991"/>
    <n v="0.27"/>
    <n v="-0.73"/>
    <n v="17.600000000000001"/>
    <n v="0.46"/>
    <n v="8.67"/>
    <n v="8.0299999999999994"/>
    <n v="3.2"/>
    <n v="30"/>
    <n v="0.4"/>
  </r>
  <r>
    <x v="47"/>
    <n v="2019"/>
    <n v="16.5"/>
    <n v="91"/>
    <s v="no"/>
    <s v="no"/>
    <n v="-2.37"/>
    <n v="0.86"/>
    <n v="0.75"/>
    <n v="7.52"/>
    <n v="1.34"/>
    <n v="4.5"/>
    <n v="8.64"/>
    <n v="1.58"/>
    <n v="-0.14000000000000001"/>
    <n v="18.5"/>
    <n v="0.03"/>
    <n v="5.0199999999999996"/>
    <n v="7.6"/>
    <n v="5.6"/>
    <n v="25"/>
    <n v="0.39"/>
  </r>
  <r>
    <x v="48"/>
    <n v="2019"/>
    <n v="7"/>
    <n v="96"/>
    <s v="no"/>
    <s v="no"/>
    <n v="-2.92"/>
    <n v="-0.56000000000000005"/>
    <n v="0.2"/>
    <n v="18.190000000000001"/>
    <n v="0.13"/>
    <n v="0.27"/>
    <n v="6.03"/>
    <n v="0.05"/>
    <n v="-0.56999999999999995"/>
    <n v="16.399999999999999"/>
    <n v="0.34"/>
    <n v="8.6300000000000008"/>
    <n v="7.28"/>
    <n v="4.8"/>
    <n v="40"/>
    <n v="0.55000000000000004"/>
  </r>
  <r>
    <x v="49"/>
    <n v="2019"/>
    <n v="4.4000000000000004"/>
    <n v="100"/>
    <s v="no"/>
    <s v="no"/>
    <n v="-2.5099999999999998"/>
    <n v="0.1"/>
    <n v="0.43"/>
    <n v="13.17"/>
    <n v="1.22"/>
    <n v="1.54"/>
    <n v="4.32"/>
    <n v="0.2"/>
    <n v="-0.53"/>
    <n v="15.7"/>
    <n v="0.42"/>
    <n v="9.7100000000000009"/>
    <n v="7.33"/>
    <n v="3.6"/>
    <n v="50"/>
    <n v="0.41"/>
  </r>
  <r>
    <x v="50"/>
    <n v="2018"/>
    <n v="21.1"/>
    <n v="69"/>
    <s v="no"/>
    <s v="no"/>
    <n v="-1.31"/>
    <n v="1.1200000000000001"/>
    <n v="0.23"/>
    <n v="25"/>
    <n v="0.7"/>
    <n v="0.25"/>
    <n v="9.9499999999999993"/>
    <n v="0.18"/>
    <n v="-0.27"/>
    <n v="16.3"/>
    <n v="0.36"/>
    <n v="7.56"/>
    <n v="7.88"/>
    <n v="3.3"/>
    <n v="90"/>
    <n v="0.44"/>
  </r>
  <r>
    <x v="51"/>
    <n v="2018"/>
    <n v="2.1"/>
    <n v="24"/>
    <s v="no"/>
    <s v="no"/>
    <n v="-1.7"/>
    <n v="1.04"/>
    <n v="0.02"/>
    <n v="2.5"/>
    <n v="0.2"/>
    <n v="0.98"/>
    <n v="11"/>
    <n v="2.2999999999999998"/>
    <n v="-0.02"/>
    <n v="19.600000000000001"/>
    <n v="0.23"/>
    <n v="8.32"/>
    <n v="7.79"/>
    <n v="3.5"/>
    <n v="80"/>
    <n v="0.47"/>
  </r>
  <r>
    <x v="52"/>
    <n v="2018"/>
    <n v="6.2"/>
    <n v="22"/>
    <s v="no"/>
    <s v="no"/>
    <n v="-1.65"/>
    <n v="1.0900000000000001"/>
    <n v="0.02"/>
    <n v="1.64"/>
    <n v="0.2"/>
    <n v="2.5"/>
    <n v="13.75"/>
    <n v="1.49"/>
    <n v="0.12"/>
    <n v="19"/>
    <n v="0.23"/>
    <n v="6.59"/>
    <n v="7.42"/>
    <n v="4.4000000000000004"/>
    <n v="60"/>
    <n v="0.39"/>
  </r>
  <r>
    <x v="52"/>
    <n v="2019"/>
    <n v="6.2"/>
    <n v="22"/>
    <s v="no"/>
    <s v="no"/>
    <n v="-2.74"/>
    <n v="-0.14000000000000001"/>
    <n v="0.16"/>
    <n v="8.65"/>
    <n v="0.13"/>
    <n v="3.09"/>
    <n v="5.2"/>
    <n v="0.18"/>
    <n v="-0.66"/>
    <n v="18.899999999999999"/>
    <n v="0.12"/>
    <n v="7.48"/>
    <n v="7.64"/>
    <n v="4.4000000000000004"/>
    <n v="70"/>
    <n v="0.39"/>
  </r>
  <r>
    <x v="53"/>
    <n v="2018"/>
    <n v="29.1"/>
    <n v="48"/>
    <s v="yes"/>
    <s v="no"/>
    <n v="-1.67"/>
    <n v="1.07"/>
    <n v="0.02"/>
    <n v="4.38"/>
    <n v="0.18"/>
    <n v="1.88"/>
    <n v="5.86"/>
    <n v="1.24"/>
    <n v="-0.28000000000000003"/>
    <n v="19.2"/>
    <n v="0.2"/>
    <n v="7.51"/>
    <n v="7.8"/>
    <n v="5.0999999999999996"/>
    <n v="40"/>
    <n v="0.53"/>
  </r>
  <r>
    <x v="54"/>
    <n v="2018"/>
    <n v="28.6"/>
    <n v="27"/>
    <s v="no"/>
    <s v="no"/>
    <n v="-0.64"/>
    <n v="1.78"/>
    <n v="0.12"/>
    <n v="5"/>
    <n v="0.5"/>
    <n v="1.37"/>
    <n v="10.29"/>
    <n v="1.66"/>
    <n v="0.05"/>
    <n v="19.399999999999999"/>
    <n v="0.31"/>
    <n v="7.15"/>
    <n v="7.79"/>
    <n v="4.3"/>
    <n v="0"/>
    <n v="0.21"/>
  </r>
  <r>
    <x v="55"/>
    <n v="2018"/>
    <n v="9.6"/>
    <n v="23"/>
    <s v="no"/>
    <s v="no"/>
    <n v="-1.31"/>
    <n v="1.1100000000000001"/>
    <n v="0.08"/>
    <n v="1.76"/>
    <n v="1.5"/>
    <n v="1.4"/>
    <n v="4.3600000000000003"/>
    <n v="0.46"/>
    <n v="0.48"/>
    <n v="21.3"/>
    <n v="0.24"/>
    <n v="7.43"/>
    <n v="7.89"/>
    <n v="4.75"/>
    <n v="100"/>
    <n v="0.49"/>
  </r>
  <r>
    <x v="56"/>
    <n v="2019"/>
    <n v="16.2"/>
    <n v="54"/>
    <s v="no"/>
    <s v="no"/>
    <n v="-0.22"/>
    <n v="2.2000000000000002"/>
    <n v="1.54"/>
    <n v="36.96"/>
    <n v="1.67"/>
    <n v="1.4"/>
    <n v="19.78"/>
    <n v="1.85"/>
    <n v="-0.18"/>
    <n v="20.5"/>
    <n v="0.28000000000000003"/>
    <n v="3.82"/>
    <n v="7.71"/>
    <n v="5.7"/>
    <n v="30"/>
    <n v="0.09"/>
  </r>
  <r>
    <x v="57"/>
    <n v="2018"/>
    <n v="18.8"/>
    <n v="27"/>
    <s v="no"/>
    <s v="no"/>
    <n v="-1.68"/>
    <n v="1.05"/>
    <n v="0.02"/>
    <n v="9.48"/>
    <n v="0.1"/>
    <n v="1.1599999999999999"/>
    <n v="5.01"/>
    <n v="0.59"/>
    <n v="-0.08"/>
    <n v="18.5"/>
    <n v="0.3"/>
    <n v="7.97"/>
    <n v="7.58"/>
    <n v="4.3499999999999996"/>
    <n v="60"/>
    <n v="0.42"/>
  </r>
  <r>
    <x v="58"/>
    <n v="2018"/>
    <n v="7.3"/>
    <n v="31"/>
    <s v="yes"/>
    <s v="no"/>
    <n v="-1.36"/>
    <n v="1.37"/>
    <n v="0.04"/>
    <n v="3.1"/>
    <n v="0.24"/>
    <n v="1.24"/>
    <n v="7.95"/>
    <n v="2.2599999999999998"/>
    <n v="-0.25"/>
    <n v="19.600000000000001"/>
    <n v="0.38"/>
    <n v="8.09"/>
    <n v="7.85"/>
    <n v="4.8499999999999996"/>
    <n v="20"/>
    <n v="0.16"/>
  </r>
  <r>
    <x v="58"/>
    <n v="2019"/>
    <n v="7.3"/>
    <n v="31"/>
    <s v="yes"/>
    <s v="no"/>
    <n v="-2.15"/>
    <n v="0.65"/>
    <n v="0.26"/>
    <n v="6.05"/>
    <n v="0.23"/>
    <n v="2.35"/>
    <n v="5.2"/>
    <n v="0.18"/>
    <n v="-0.82"/>
    <n v="18.100000000000001"/>
    <n v="0.25"/>
    <n v="8.24"/>
    <n v="7.82"/>
    <n v="4.8499999999999996"/>
    <n v="10"/>
    <n v="0.16"/>
  </r>
  <r>
    <x v="59"/>
    <n v="2018"/>
    <n v="5.7"/>
    <n v="35"/>
    <s v="no"/>
    <s v="no"/>
    <n v="-1.67"/>
    <n v="1.06"/>
    <n v="0.02"/>
    <n v="2.08"/>
    <n v="0.14000000000000001"/>
    <n v="0.9"/>
    <n v="9.82"/>
    <n v="1.65"/>
    <n v="-0.09"/>
    <n v="19.399999999999999"/>
    <n v="0.28999999999999998"/>
    <n v="7.68"/>
    <n v="8.02"/>
    <n v="5.1999999999999993"/>
    <n v="20"/>
    <n v="0.27"/>
  </r>
  <r>
    <x v="59"/>
    <n v="2019"/>
    <n v="5.7"/>
    <n v="35"/>
    <s v="no"/>
    <s v="no"/>
    <n v="-2.06"/>
    <n v="0.37"/>
    <n v="0.2"/>
    <n v="6.33"/>
    <n v="0.79"/>
    <n v="0.28999999999999998"/>
    <n v="5.2"/>
    <n v="0.18"/>
    <n v="-0.32"/>
    <n v="17.8"/>
    <n v="0.2"/>
    <n v="8.0299999999999994"/>
    <n v="7.86"/>
    <n v="5.1999999999999993"/>
    <n v="10"/>
    <n v="0.27"/>
  </r>
  <r>
    <x v="60"/>
    <n v="2019"/>
    <n v="9.6"/>
    <n v="82"/>
    <s v="no"/>
    <s v="no"/>
    <n v="-3.13"/>
    <n v="-0.41"/>
    <n v="0.35"/>
    <n v="25.09"/>
    <n v="0.95"/>
    <n v="0.7"/>
    <n v="8.75"/>
    <n v="0.2"/>
    <n v="-0.82"/>
    <n v="17.3"/>
    <n v="0.24"/>
    <n v="7.82"/>
    <n v="7.65"/>
    <n v="4.4000000000000004"/>
    <n v="70"/>
    <n v="0.53"/>
  </r>
  <r>
    <x v="61"/>
    <n v="2018"/>
    <n v="19.600000000000001"/>
    <n v="94"/>
    <s v="no"/>
    <s v="no"/>
    <n v="-2.69"/>
    <n v="0"/>
    <n v="0.15"/>
    <n v="16.75"/>
    <n v="0"/>
    <n v="0.11"/>
    <n v="7.37"/>
    <n v="0.01"/>
    <n v="-1.21"/>
    <n v="18"/>
    <n v="0.1"/>
    <n v="5.81"/>
    <n v="7.93"/>
    <n v="4.3"/>
    <n v="60"/>
    <n v="0.42"/>
  </r>
  <r>
    <x v="62"/>
    <n v="2018"/>
    <n v="12.9"/>
    <n v="98"/>
    <s v="yes"/>
    <s v="no"/>
    <n v="-2.19"/>
    <n v="0.24"/>
    <n v="0.15"/>
    <n v="18"/>
    <n v="0"/>
    <n v="0.24"/>
    <n v="8.65"/>
    <n v="0.45"/>
    <n v="-0.27"/>
    <n v="17.899999999999999"/>
    <n v="0.28000000000000003"/>
    <n v="6.43"/>
    <n v="8.0299999999999994"/>
    <n v="3.7"/>
    <n v="80"/>
    <n v="0.41"/>
  </r>
  <r>
    <x v="62"/>
    <n v="2019"/>
    <n v="12.9"/>
    <n v="98"/>
    <s v="yes"/>
    <s v="no"/>
    <n v="-1.47"/>
    <n v="0.95"/>
    <n v="0.59"/>
    <n v="29.7"/>
    <n v="1.27"/>
    <n v="4.38"/>
    <n v="5.2"/>
    <n v="0.18"/>
    <n v="-0.38"/>
    <n v="17.3"/>
    <n v="0.31"/>
    <n v="6.7"/>
    <n v="8.01"/>
    <n v="3.7"/>
    <n v="90"/>
    <n v="0.41"/>
  </r>
  <r>
    <x v="63"/>
    <n v="2018"/>
    <n v="17.2"/>
    <n v="70"/>
    <s v="no"/>
    <s v="no"/>
    <n v="-2.5499999999999998"/>
    <n v="-0.04"/>
    <n v="0.14000000000000001"/>
    <n v="9"/>
    <n v="0"/>
    <n v="0.24"/>
    <n v="2.2400000000000002"/>
    <n v="0.06"/>
    <n v="-0.69"/>
    <n v="18.8"/>
    <n v="0.06"/>
    <n v="6.03"/>
    <n v="8.2899999999999991"/>
    <n v="4"/>
    <n v="85"/>
    <n v="0.75"/>
  </r>
  <r>
    <x v="64"/>
    <n v="2019"/>
    <n v="6.9"/>
    <n v="91"/>
    <s v="no"/>
    <s v="no"/>
    <n v="-3.19"/>
    <n v="-0.2"/>
    <n v="0.14000000000000001"/>
    <n v="25.02"/>
    <n v="0.06"/>
    <n v="4.9000000000000004"/>
    <n v="6.64"/>
    <n v="0.05"/>
    <n v="-0.37"/>
    <n v="16.399999999999999"/>
    <n v="0.16"/>
    <n v="7.25"/>
    <n v="7.81"/>
    <n v="3.8"/>
    <n v="85"/>
    <n v="0.65"/>
  </r>
  <r>
    <x v="65"/>
    <n v="2019"/>
    <n v="9.8000000000000007"/>
    <n v="100"/>
    <s v="no"/>
    <s v="no"/>
    <n v="-3.03"/>
    <n v="-0.04"/>
    <n v="0.17"/>
    <n v="28.33"/>
    <n v="0.78"/>
    <n v="0.41"/>
    <n v="8.32"/>
    <n v="0.13"/>
    <n v="-0.83"/>
    <n v="19.399999999999999"/>
    <n v="0.32"/>
    <n v="7.28"/>
    <n v="8.1300000000000008"/>
    <n v="3.2"/>
    <n v="80"/>
    <n v="0.57999999999999996"/>
  </r>
  <r>
    <x v="66"/>
    <n v="2018"/>
    <n v="16.8"/>
    <n v="89"/>
    <s v="no"/>
    <s v="no"/>
    <n v="-1.62"/>
    <n v="1.1100000000000001"/>
    <n v="0.7"/>
    <n v="45"/>
    <n v="0.2"/>
    <n v="0.75"/>
    <n v="4.9400000000000004"/>
    <n v="0.32"/>
    <n v="-0.91"/>
    <n v="19.100000000000001"/>
    <n v="0.14000000000000001"/>
    <n v="3.07"/>
    <n v="7.8"/>
    <n v="1.4"/>
    <n v="50"/>
    <n v="0.64"/>
  </r>
  <r>
    <x v="67"/>
    <n v="2018"/>
    <n v="15.4"/>
    <n v="90"/>
    <s v="no"/>
    <s v="no"/>
    <n v="-1.53"/>
    <n v="0.9"/>
    <n v="0.94"/>
    <n v="16.75"/>
    <n v="0.92"/>
    <n v="2.85"/>
    <n v="4.9400000000000004"/>
    <n v="1.69"/>
    <n v="0.05"/>
    <n v="24.6"/>
    <n v="0.12"/>
    <n v="8.52"/>
    <n v="8.1300000000000008"/>
    <n v="4.5"/>
    <n v="80"/>
    <n v="0.2"/>
  </r>
  <r>
    <x v="68"/>
    <n v="2018"/>
    <n v="21.2"/>
    <n v="59"/>
    <s v="no"/>
    <s v="no"/>
    <n v="-2.1"/>
    <n v="0.56999999999999995"/>
    <n v="0.2"/>
    <n v="25"/>
    <n v="0.3"/>
    <n v="1.75"/>
    <n v="10.23"/>
    <n v="1.31"/>
    <n v="-0.02"/>
    <n v="16.2"/>
    <n v="0.41"/>
    <n v="8.31"/>
    <n v="7.82"/>
    <n v="3.5"/>
    <n v="50"/>
    <n v="0.48"/>
  </r>
  <r>
    <x v="69"/>
    <n v="2019"/>
    <n v="14.6"/>
    <n v="87"/>
    <s v="no"/>
    <s v="no"/>
    <n v="-2.33"/>
    <n v="0.09"/>
    <n v="1.17"/>
    <n v="109.17"/>
    <n v="1.47"/>
    <n v="3.45"/>
    <n v="40.14"/>
    <n v="0.23"/>
    <n v="-0.57999999999999996"/>
    <n v="18.100000000000001"/>
    <n v="0.28999999999999998"/>
    <n v="8.82"/>
    <n v="7.67"/>
    <n v="3.9"/>
    <n v="40"/>
    <n v="0.67"/>
  </r>
  <r>
    <x v="70"/>
    <n v="2018"/>
    <n v="29.9"/>
    <n v="59"/>
    <s v="no"/>
    <s v="no"/>
    <n v="-1.04"/>
    <n v="1.38"/>
    <n v="1"/>
    <n v="69.5"/>
    <n v="0.2"/>
    <n v="0.5"/>
    <n v="11.29"/>
    <n v="0.25"/>
    <n v="0.23"/>
    <n v="19.5"/>
    <n v="0.49"/>
    <n v="5.63"/>
    <n v="7.75"/>
    <n v="2.9"/>
    <n v="60"/>
    <n v="0.56000000000000005"/>
  </r>
  <r>
    <x v="71"/>
    <n v="2018"/>
    <n v="15"/>
    <n v="98"/>
    <s v="yes"/>
    <s v="no"/>
    <n v="-2.58"/>
    <n v="-0.16"/>
    <n v="0.15"/>
    <n v="4.5"/>
    <n v="0.5"/>
    <n v="0.24"/>
    <n v="2.11"/>
    <n v="0.11"/>
    <n v="-1.08"/>
    <n v="23.9"/>
    <n v="0.11"/>
    <n v="2.95"/>
    <n v="7.54"/>
    <n v="3.6"/>
    <n v="40"/>
    <n v="0.37"/>
  </r>
  <r>
    <x v="72"/>
    <n v="2018"/>
    <n v="4.2"/>
    <n v="60"/>
    <s v="no"/>
    <s v="no"/>
    <n v="-2.62"/>
    <n v="-0.2"/>
    <n v="0.5"/>
    <n v="22"/>
    <n v="0.4"/>
    <n v="0.5"/>
    <n v="7.71"/>
    <n v="0.13"/>
    <n v="-0.02"/>
    <n v="19.3"/>
    <n v="0.17"/>
    <n v="7.9"/>
    <n v="8.1300000000000008"/>
    <n v="3"/>
    <n v="70"/>
    <n v="0.78"/>
  </r>
  <r>
    <x v="73"/>
    <n v="2018"/>
    <n v="30.6"/>
    <n v="98"/>
    <s v="no"/>
    <s v="no"/>
    <n v="-1.89"/>
    <n v="0.53"/>
    <n v="0.24"/>
    <n v="7"/>
    <n v="0"/>
    <n v="0.67"/>
    <n v="2.4500000000000002"/>
    <n v="0.38"/>
    <n v="-0.31"/>
    <n v="19.399999999999999"/>
    <n v="0.25"/>
    <n v="6.81"/>
    <n v="8.0299999999999994"/>
    <n v="3.9"/>
    <n v="35"/>
    <n v="0.28999999999999998"/>
  </r>
  <r>
    <x v="73"/>
    <n v="2019"/>
    <n v="29"/>
    <n v="98"/>
    <s v="no"/>
    <s v="no"/>
    <n v="-2.25"/>
    <n v="0.2"/>
    <n v="0.13"/>
    <n v="66.13"/>
    <n v="0.11"/>
    <n v="0.4"/>
    <n v="5.2"/>
    <n v="0.18"/>
    <n v="-0.93"/>
    <n v="19.2"/>
    <n v="0.21"/>
    <n v="7.68"/>
    <n v="7.92"/>
    <n v="3.9"/>
    <n v="65"/>
    <n v="0.28999999999999998"/>
  </r>
  <r>
    <x v="74"/>
    <n v="2019"/>
    <n v="15.2"/>
    <n v="91"/>
    <s v="no"/>
    <s v="no"/>
    <n v="-1.55"/>
    <n v="0.88"/>
    <n v="0.32"/>
    <n v="26.33"/>
    <n v="0.26"/>
    <n v="0.57999999999999996"/>
    <n v="9.64"/>
    <n v="0.27"/>
    <n v="-0.02"/>
    <n v="16.600000000000001"/>
    <n v="0.02"/>
    <n v="8.36"/>
    <n v="8.01"/>
    <n v="5.0999999999999996"/>
    <n v="50"/>
    <n v="0.35"/>
  </r>
  <r>
    <x v="75"/>
    <n v="2018"/>
    <n v="11.6"/>
    <n v="89"/>
    <s v="yes"/>
    <s v="no"/>
    <n v="-2.5499999999999998"/>
    <n v="0.17"/>
    <n v="0.23"/>
    <n v="10"/>
    <n v="0"/>
    <n v="0.45"/>
    <n v="8.93"/>
    <n v="0.54"/>
    <n v="-0.12"/>
    <n v="18.3"/>
    <n v="0.3"/>
    <n v="8.1999999999999993"/>
    <n v="8.27"/>
    <n v="4.5"/>
    <n v="0"/>
    <n v="0.46"/>
  </r>
  <r>
    <x v="75"/>
    <n v="2019"/>
    <n v="11.6"/>
    <n v="89"/>
    <s v="yes"/>
    <s v="no"/>
    <n v="-1.7"/>
    <n v="0.72"/>
    <n v="0.26"/>
    <n v="23.98"/>
    <n v="0.25"/>
    <n v="1.26"/>
    <n v="5.2"/>
    <n v="0.18"/>
    <n v="0.16"/>
    <n v="17.5"/>
    <n v="0.12"/>
    <n v="8.44"/>
    <n v="8.2200000000000006"/>
    <n v="4.5"/>
    <n v="40"/>
    <n v="0.46"/>
  </r>
  <r>
    <x v="76"/>
    <n v="2018"/>
    <n v="13.9"/>
    <n v="95"/>
    <s v="no"/>
    <s v="no"/>
    <n v="-1.42"/>
    <n v="1.01"/>
    <n v="0.15"/>
    <n v="25"/>
    <n v="0.5"/>
    <n v="0.67"/>
    <n v="7.66"/>
    <n v="0.4"/>
    <n v="0.01"/>
    <n v="19.5"/>
    <n v="0.31"/>
    <n v="7.14"/>
    <n v="8.32"/>
    <n v="4.5"/>
    <n v="35"/>
    <n v="0.21"/>
  </r>
  <r>
    <x v="77"/>
    <n v="2018"/>
    <n v="5.5"/>
    <n v="94"/>
    <s v="no"/>
    <s v="no"/>
    <n v="-4.21"/>
    <n v="-2.2799999999999998"/>
    <n v="0.13"/>
    <n v="45"/>
    <n v="0"/>
    <n v="0.45"/>
    <n v="13.16"/>
    <n v="0.37"/>
    <n v="-0.55000000000000004"/>
    <n v="16"/>
    <n v="0.36"/>
    <n v="8.6999999999999993"/>
    <n v="8.1999999999999993"/>
    <n v="4.5"/>
    <n v="80"/>
    <n v="0.42"/>
  </r>
  <r>
    <x v="77"/>
    <n v="2019"/>
    <n v="5.6"/>
    <n v="94"/>
    <s v="no"/>
    <s v="no"/>
    <n v="-2.42"/>
    <n v="0.7"/>
    <n v="0.72"/>
    <n v="45.47"/>
    <n v="0.84"/>
    <n v="4"/>
    <n v="5.2"/>
    <n v="0.18"/>
    <n v="-0.65"/>
    <n v="15.2"/>
    <n v="0.25"/>
    <n v="6.87"/>
    <n v="7.43"/>
    <n v="4.5"/>
    <n v="50"/>
    <n v="0.42"/>
  </r>
  <r>
    <x v="78"/>
    <n v="2018"/>
    <n v="9.1999999999999993"/>
    <n v="39"/>
    <s v="no"/>
    <s v="no"/>
    <n v="-2.2200000000000002"/>
    <n v="0.21"/>
    <n v="0.15"/>
    <n v="10"/>
    <n v="0.4"/>
    <n v="0.45"/>
    <n v="10.039999999999999"/>
    <n v="1.01"/>
    <n v="-0.26"/>
    <n v="20.100000000000001"/>
    <n v="0.24"/>
    <n v="5.99"/>
    <n v="8.1"/>
    <n v="4.2"/>
    <n v="50"/>
    <n v="0.5"/>
  </r>
  <r>
    <x v="79"/>
    <n v="2019"/>
    <n v="10.1"/>
    <n v="44"/>
    <s v="no"/>
    <s v="no"/>
    <n v="-2.7"/>
    <n v="0.67"/>
    <n v="0.4"/>
    <n v="14.08"/>
    <n v="0.36"/>
    <n v="1.44"/>
    <n v="4.2"/>
    <n v="0.57999999999999996"/>
    <n v="-0.16"/>
    <n v="19.3"/>
    <n v="0.3"/>
    <n v="7.93"/>
    <n v="8.49"/>
    <n v="5.2"/>
    <n v="25"/>
    <n v="0.39"/>
  </r>
  <r>
    <x v="80"/>
    <n v="2019"/>
    <n v="18.600000000000001"/>
    <n v="97"/>
    <s v="no"/>
    <s v="no"/>
    <n v="-1.1599999999999999"/>
    <n v="1.26"/>
    <n v="0.51"/>
    <n v="52.9"/>
    <n v="0.67"/>
    <n v="1.45"/>
    <n v="15.42"/>
    <n v="0.32"/>
    <n v="-0.2"/>
    <n v="17.2"/>
    <n v="0.26"/>
    <n v="7.28"/>
    <n v="8.34"/>
    <n v="4.7"/>
    <n v="10"/>
    <n v="0.32"/>
  </r>
  <r>
    <x v="81"/>
    <n v="2018"/>
    <n v="22.3"/>
    <n v="88"/>
    <s v="no"/>
    <s v="no"/>
    <n v="-2.5499999999999998"/>
    <n v="0.23"/>
    <n v="0.24"/>
    <n v="9"/>
    <n v="0.25"/>
    <n v="0.25"/>
    <n v="11.15"/>
    <n v="0.12"/>
    <n v="0.04"/>
    <n v="20.399999999999999"/>
    <n v="0.42"/>
    <n v="6.55"/>
    <n v="8.27"/>
    <n v="5.8"/>
    <n v="10"/>
    <n v="0.46"/>
  </r>
  <r>
    <x v="82"/>
    <n v="2019"/>
    <n v="4.8"/>
    <n v="85"/>
    <s v="no"/>
    <s v="no"/>
    <n v="-1.68"/>
    <n v="1.1299999999999999"/>
    <n v="2.74"/>
    <n v="101.55"/>
    <n v="2.4"/>
    <n v="9.01"/>
    <n v="22.4"/>
    <n v="1.17"/>
    <n v="0.44"/>
    <n v="14.4"/>
    <n v="0.34"/>
    <n v="8.77"/>
    <n v="7.53"/>
    <n v="4.3"/>
    <n v="90"/>
    <n v="0.53"/>
  </r>
  <r>
    <x v="83"/>
    <n v="2018"/>
    <n v="19.5"/>
    <n v="74"/>
    <s v="no"/>
    <s v="no"/>
    <n v="-2.61"/>
    <n v="0.03"/>
    <n v="0.13"/>
    <n v="1.6"/>
    <n v="0.12"/>
    <n v="0.46"/>
    <n v="10.81"/>
    <n v="0.12"/>
    <n v="-0.54"/>
    <n v="18.399999999999999"/>
    <n v="0.33"/>
    <n v="7.03"/>
    <n v="7.9"/>
    <n v="3.6"/>
    <n v="45"/>
    <n v="0.5"/>
  </r>
  <r>
    <x v="84"/>
    <n v="2018"/>
    <n v="9.6999999999999993"/>
    <n v="87"/>
    <s v="no"/>
    <s v="no"/>
    <n v="-0.14000000000000001"/>
    <n v="2.2799999999999998"/>
    <n v="0.92"/>
    <n v="23.5"/>
    <n v="2.9"/>
    <n v="1.92"/>
    <n v="12.23"/>
    <n v="1.67"/>
    <n v="-0.06"/>
    <n v="16.100000000000001"/>
    <n v="0.12"/>
    <n v="8.49"/>
    <n v="7.87"/>
    <n v="4"/>
    <n v="60"/>
    <n v="0.32"/>
  </r>
  <r>
    <x v="85"/>
    <n v="2019"/>
    <n v="1.7"/>
    <n v="99"/>
    <s v="no"/>
    <s v="no"/>
    <n v="-2.71"/>
    <n v="-0.46"/>
    <n v="1.36"/>
    <n v="553.48"/>
    <n v="2.78"/>
    <n v="4.5"/>
    <n v="23.9"/>
    <n v="1.21"/>
    <n v="0.12"/>
    <n v="15.3"/>
    <n v="0.13"/>
    <n v="4.95"/>
    <n v="6.86"/>
    <n v="3.1"/>
    <n v="100"/>
    <n v="0.3"/>
  </r>
  <r>
    <x v="86"/>
    <n v="2019"/>
    <n v="2.7"/>
    <n v="2"/>
    <s v="no"/>
    <s v="no"/>
    <n v="-4.08"/>
    <n v="-2.81"/>
    <n v="0.04"/>
    <n v="3.23"/>
    <n v="0.02"/>
    <n v="0.08"/>
    <n v="1.1100000000000001"/>
    <n v="0.01"/>
    <n v="-0.67"/>
    <n v="16.600000000000001"/>
    <n v="0.26"/>
    <n v="8.15"/>
    <n v="6.86"/>
    <n v="1.9"/>
    <n v="65"/>
    <n v="0.62"/>
  </r>
  <r>
    <x v="87"/>
    <n v="2018"/>
    <n v="4.2"/>
    <n v="0"/>
    <s v="no"/>
    <s v="no"/>
    <n v="-5"/>
    <n v="-3"/>
    <n v="0"/>
    <n v="0"/>
    <n v="0"/>
    <n v="0"/>
    <n v="3.07"/>
    <n v="0.09"/>
    <n v="-1.08"/>
    <n v="23.6"/>
    <n v="0.42"/>
    <n v="9.18"/>
    <n v="7.7"/>
    <n v="1.4"/>
    <n v="75"/>
    <n v="1"/>
  </r>
  <r>
    <x v="87"/>
    <n v="2019"/>
    <n v="4.2"/>
    <n v="0"/>
    <s v="no"/>
    <s v="no"/>
    <n v="-2.96"/>
    <n v="-1.01"/>
    <n v="0.33"/>
    <n v="11.75"/>
    <n v="0.21"/>
    <n v="0.27"/>
    <n v="1.94"/>
    <n v="0.05"/>
    <n v="-0.4"/>
    <n v="18.600000000000001"/>
    <n v="0.12"/>
    <n v="8.85"/>
    <n v="7.76"/>
    <n v="1.4"/>
    <n v="65"/>
    <n v="1"/>
  </r>
  <r>
    <x v="88"/>
    <n v="2019"/>
    <n v="32.200000000000003"/>
    <n v="1"/>
    <s v="no"/>
    <s v="yes (2400m)"/>
    <n v="-3.74"/>
    <n v="-1.1299999999999999"/>
    <n v="0.06"/>
    <n v="10.97"/>
    <n v="0.03"/>
    <n v="0.05"/>
    <n v="3.1"/>
    <n v="0.02"/>
    <n v="-1.71"/>
    <n v="16"/>
    <n v="0.43"/>
    <n v="7.93"/>
    <n v="6.5"/>
    <n v="2.8"/>
    <n v="60"/>
    <n v="0.85"/>
  </r>
  <r>
    <x v="89"/>
    <n v="2019"/>
    <n v="22.1"/>
    <n v="19"/>
    <s v="no"/>
    <s v="yes (410m)"/>
    <n v="-4.09"/>
    <n v="-1.5"/>
    <n v="0.09"/>
    <n v="4.82"/>
    <n v="0.03"/>
    <n v="9.23"/>
    <n v="1"/>
    <n v="0.01"/>
    <n v="-0.76"/>
    <n v="18.600000000000001"/>
    <n v="0.51"/>
    <n v="8.0399999999999991"/>
    <n v="6.42"/>
    <n v="1.8"/>
    <n v="60"/>
    <n v="1.03"/>
  </r>
  <r>
    <x v="90"/>
    <n v="2019"/>
    <n v="2.5"/>
    <n v="0"/>
    <s v="no"/>
    <s v="no"/>
    <n v="-3.28"/>
    <n v="-0.28999999999999998"/>
    <n v="0.51"/>
    <n v="3.64"/>
    <n v="0.03"/>
    <n v="0"/>
    <n v="1.53"/>
    <n v="0.48"/>
    <n v="-0.31"/>
    <n v="18.5"/>
    <n v="0.3"/>
    <n v="8.3000000000000007"/>
    <n v="8.0299999999999994"/>
    <n v="2.4"/>
    <n v="100"/>
    <n v="0.88"/>
  </r>
  <r>
    <x v="91"/>
    <n v="2019"/>
    <n v="3.4"/>
    <n v="0"/>
    <s v="no"/>
    <s v="yes (150m)"/>
    <n v="-3.23"/>
    <n v="-0.24"/>
    <n v="0.61"/>
    <n v="8.3000000000000007"/>
    <n v="0.27"/>
    <n v="0.81"/>
    <n v="3.01"/>
    <n v="0.21"/>
    <n v="-0.61"/>
    <n v="17.100000000000001"/>
    <n v="0.15"/>
    <n v="7.86"/>
    <n v="7.95"/>
    <n v="2.2000000000000002"/>
    <n v="70"/>
    <n v="0.49"/>
  </r>
  <r>
    <x v="92"/>
    <n v="2018"/>
    <n v="3.8"/>
    <n v="0"/>
    <s v="no"/>
    <s v="no"/>
    <n v="-1.68"/>
    <n v="1.05"/>
    <n v="0.01"/>
    <n v="1.44"/>
    <n v="0.1"/>
    <n v="0.98"/>
    <n v="1.06"/>
    <n v="0.04"/>
    <n v="-0.78"/>
    <n v="18.600000000000001"/>
    <n v="0.2"/>
    <n v="8.3000000000000007"/>
    <n v="7.37"/>
    <n v="1.6"/>
    <n v="80"/>
    <n v="0.54"/>
  </r>
  <r>
    <x v="93"/>
    <n v="2018"/>
    <n v="10.199999999999999"/>
    <n v="3"/>
    <s v="no"/>
    <s v="no"/>
    <n v="-5"/>
    <n v="-3"/>
    <n v="0.02"/>
    <n v="2.38"/>
    <n v="0.1"/>
    <n v="2.1"/>
    <n v="2.52"/>
    <n v="0.06"/>
    <n v="-1.72"/>
    <n v="19.8"/>
    <n v="0.27"/>
    <n v="8.3000000000000007"/>
    <n v="7.34"/>
    <n v="1.9"/>
    <n v="100"/>
    <n v="0.86"/>
  </r>
  <r>
    <x v="94"/>
    <n v="2019"/>
    <n v="10.3"/>
    <n v="3"/>
    <s v="no"/>
    <s v="no"/>
    <n v="-4.08"/>
    <n v="-1.18"/>
    <n v="0.16"/>
    <n v="5.37"/>
    <n v="0.05"/>
    <n v="0.24"/>
    <n v="1.94"/>
    <n v="0.05"/>
    <n v="-1.3"/>
    <n v="19.8"/>
    <n v="0.36"/>
    <n v="8.3000000000000007"/>
    <n v="7.17"/>
    <n v="3.6"/>
    <n v="40"/>
    <n v="0.76"/>
  </r>
  <r>
    <x v="95"/>
    <n v="2018"/>
    <n v="2.2000000000000002"/>
    <n v="0"/>
    <s v="no"/>
    <s v="no"/>
    <n v="-1.7"/>
    <n v="1.04"/>
    <n v="0.01"/>
    <n v="3.1"/>
    <n v="0.1"/>
    <n v="1.46"/>
    <n v="1.18"/>
    <n v="0.02"/>
    <n v="-1.1100000000000001"/>
    <n v="18.5"/>
    <n v="0.24"/>
    <n v="8.3000000000000007"/>
    <n v="7.23"/>
    <n v="3.8"/>
    <n v="15"/>
    <n v="0.34"/>
  </r>
  <r>
    <x v="96"/>
    <n v="2018"/>
    <n v="10.7"/>
    <n v="11"/>
    <s v="no"/>
    <s v="no"/>
    <n v="-1.68"/>
    <n v="1.05"/>
    <n v="0.01"/>
    <n v="1.9"/>
    <n v="0.1"/>
    <n v="1.46"/>
    <n v="1.94"/>
    <n v="0.05"/>
    <n v="-2.98"/>
    <n v="17.600000000000001"/>
    <n v="0.23"/>
    <n v="8.7100000000000009"/>
    <n v="7.39"/>
    <n v="3.8499999999999996"/>
    <n v="0"/>
    <n v="0.33"/>
  </r>
  <r>
    <x v="97"/>
    <n v="2018"/>
    <n v="0.9"/>
    <n v="0"/>
    <s v="no"/>
    <s v="yes"/>
    <n v="-5"/>
    <n v="-2.66"/>
    <n v="0"/>
    <n v="0"/>
    <n v="0"/>
    <n v="0.43"/>
    <n v="1.49"/>
    <n v="0.01"/>
    <n v="-2.73"/>
    <n v="20.3"/>
    <n v="0.32"/>
    <n v="9.84"/>
    <n v="7.87"/>
    <n v="2.4"/>
    <n v="70"/>
    <n v="1.04"/>
  </r>
  <r>
    <x v="98"/>
    <n v="2018"/>
    <n v="1.6"/>
    <n v="7"/>
    <s v="no"/>
    <s v="no"/>
    <n v="-5"/>
    <n v="-2.73"/>
    <n v="0"/>
    <n v="1.6"/>
    <n v="0.08"/>
    <n v="0.33"/>
    <n v="0.75"/>
    <n v="0.04"/>
    <n v="-2.66"/>
    <n v="14.6"/>
    <n v="0.27"/>
    <n v="9.58"/>
    <n v="7.28"/>
    <n v="2.5999999999999996"/>
    <n v="55"/>
    <n v="0.75"/>
  </r>
  <r>
    <x v="98"/>
    <n v="2019"/>
    <n v="1.6"/>
    <n v="7"/>
    <s v="no"/>
    <s v="no"/>
    <n v="-3.86"/>
    <n v="-0.87"/>
    <n v="0.02"/>
    <n v="2.98"/>
    <n v="0.01"/>
    <n v="0.34"/>
    <n v="1.94"/>
    <n v="0.05"/>
    <n v="-1.1100000000000001"/>
    <n v="21.8"/>
    <n v="0.35"/>
    <n v="9.26"/>
    <n v="7.44"/>
    <n v="2.5999999999999996"/>
    <n v="95"/>
    <n v="0.75"/>
  </r>
  <r>
    <x v="99"/>
    <n v="2018"/>
    <n v="7.8"/>
    <n v="0"/>
    <s v="no"/>
    <s v="no"/>
    <n v="-5"/>
    <n v="-2.5"/>
    <n v="0"/>
    <n v="1.8"/>
    <n v="0"/>
    <n v="0.23"/>
    <n v="1.24"/>
    <n v="0.13"/>
    <n v="-0.36"/>
    <n v="21.6"/>
    <n v="0.05"/>
    <n v="7.86"/>
    <n v="7.32"/>
    <n v="3.2"/>
    <n v="70"/>
    <n v="0.72"/>
  </r>
  <r>
    <x v="100"/>
    <n v="2019"/>
    <n v="1.9"/>
    <n v="1"/>
    <s v="no"/>
    <s v="no"/>
    <n v="-3.47"/>
    <n v="-0.77"/>
    <n v="0.6"/>
    <n v="15.41"/>
    <n v="0.17"/>
    <n v="2.0699999999999998"/>
    <n v="13.5"/>
    <n v="1.53"/>
    <n v="-0.71"/>
    <n v="21.6"/>
    <n v="0.23"/>
    <n v="8.3000000000000007"/>
    <n v="7.4"/>
    <n v="3.4"/>
    <n v="55"/>
    <n v="0.99"/>
  </r>
  <r>
    <x v="101"/>
    <m/>
    <m/>
    <m/>
    <m/>
    <m/>
    <m/>
    <m/>
    <m/>
    <m/>
    <m/>
    <m/>
    <m/>
    <m/>
    <m/>
    <m/>
    <m/>
    <m/>
    <m/>
    <m/>
    <m/>
    <m/>
  </r>
  <r>
    <x v="101"/>
    <m/>
    <m/>
    <m/>
    <m/>
    <m/>
    <m/>
    <m/>
    <m/>
    <m/>
    <m/>
    <m/>
    <m/>
    <m/>
    <m/>
    <m/>
    <m/>
    <m/>
    <m/>
    <m/>
    <m/>
    <m/>
  </r>
  <r>
    <x v="101"/>
    <m/>
    <m/>
    <m/>
    <m/>
    <m/>
    <m/>
    <m/>
    <m/>
    <m/>
    <m/>
    <m/>
    <m/>
    <m/>
    <m/>
    <m/>
    <m/>
    <m/>
    <m/>
    <m/>
    <m/>
    <m/>
  </r>
  <r>
    <x v="101"/>
    <m/>
    <m/>
    <m/>
    <m/>
    <m/>
    <m/>
    <m/>
    <m/>
    <m/>
    <m/>
    <m/>
    <m/>
    <m/>
    <m/>
    <m/>
    <m/>
    <m/>
    <m/>
    <m/>
    <m/>
    <m/>
  </r>
  <r>
    <x v="101"/>
    <m/>
    <m/>
    <m/>
    <m/>
    <m/>
    <m/>
    <m/>
    <m/>
    <m/>
    <m/>
    <m/>
    <m/>
    <m/>
    <m/>
    <m/>
    <m/>
    <m/>
    <m/>
    <m/>
    <m/>
    <m/>
  </r>
  <r>
    <x v="101"/>
    <m/>
    <m/>
    <m/>
    <m/>
    <m/>
    <m/>
    <m/>
    <m/>
    <m/>
    <m/>
    <m/>
    <m/>
    <m/>
    <m/>
    <m/>
    <m/>
    <m/>
    <m/>
    <m/>
    <m/>
    <m/>
  </r>
  <r>
    <x v="101"/>
    <m/>
    <m/>
    <m/>
    <m/>
    <m/>
    <m/>
    <m/>
    <m/>
    <m/>
    <m/>
    <m/>
    <m/>
    <m/>
    <m/>
    <m/>
    <m/>
    <m/>
    <m/>
    <m/>
    <m/>
    <m/>
  </r>
  <r>
    <x v="101"/>
    <m/>
    <m/>
    <m/>
    <m/>
    <m/>
    <m/>
    <m/>
    <m/>
    <m/>
    <m/>
    <m/>
    <m/>
    <m/>
    <m/>
    <m/>
    <m/>
    <m/>
    <m/>
    <m/>
    <m/>
    <m/>
  </r>
  <r>
    <x v="101"/>
    <m/>
    <m/>
    <m/>
    <m/>
    <m/>
    <m/>
    <m/>
    <m/>
    <m/>
    <m/>
    <m/>
    <m/>
    <m/>
    <m/>
    <m/>
    <m/>
    <m/>
    <m/>
    <m/>
    <m/>
    <m/>
  </r>
  <r>
    <x v="101"/>
    <m/>
    <m/>
    <m/>
    <m/>
    <m/>
    <m/>
    <m/>
    <m/>
    <m/>
    <m/>
    <m/>
    <m/>
    <m/>
    <m/>
    <m/>
    <m/>
    <m/>
    <m/>
    <m/>
    <m/>
    <m/>
  </r>
  <r>
    <x v="101"/>
    <m/>
    <m/>
    <m/>
    <m/>
    <m/>
    <m/>
    <m/>
    <m/>
    <m/>
    <m/>
    <m/>
    <m/>
    <m/>
    <m/>
    <m/>
    <m/>
    <m/>
    <m/>
    <m/>
    <m/>
    <m/>
  </r>
  <r>
    <x v="101"/>
    <m/>
    <m/>
    <m/>
    <m/>
    <m/>
    <m/>
    <m/>
    <m/>
    <m/>
    <m/>
    <m/>
    <m/>
    <m/>
    <m/>
    <m/>
    <m/>
    <m/>
    <m/>
    <m/>
    <m/>
    <m/>
  </r>
  <r>
    <x v="101"/>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12D1B1-261B-4F7C-8540-C0057F907BAA}" name="PivotTable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105" firstHeaderRow="0" firstDataRow="1" firstDataCol="1"/>
  <pivotFields count="22">
    <pivotField axis="axisRow" showAll="0">
      <items count="103">
        <item x="0"/>
        <item x="9"/>
        <item x="86"/>
        <item x="87"/>
        <item x="88"/>
        <item x="89"/>
        <item x="90"/>
        <item x="91"/>
        <item x="10"/>
        <item x="92"/>
        <item x="93"/>
        <item x="94"/>
        <item x="95"/>
        <item x="96"/>
        <item x="97"/>
        <item x="98"/>
        <item x="99"/>
        <item x="100"/>
        <item x="11"/>
        <item x="12"/>
        <item x="13"/>
        <item x="14"/>
        <item x="15"/>
        <item x="16"/>
        <item x="17"/>
        <item x="18"/>
        <item x="1"/>
        <item x="1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
        <item h="1" x="10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0"/>
  </rowFields>
  <rowItems count="10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t="grand">
      <x/>
    </i>
  </rowItems>
  <colFields count="1">
    <field x="-2"/>
  </colFields>
  <colItems count="2">
    <i>
      <x/>
    </i>
    <i i="1">
      <x v="1"/>
    </i>
  </colItems>
  <dataFields count="2">
    <dataField name="Average of SPEARpesticides" fld="21" subtotal="average" baseField="0" baseItem="0"/>
    <dataField name="Sum of TUmax [log]"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25"/>
  <sheetViews>
    <sheetView tabSelected="1" zoomScale="90" zoomScaleNormal="90" workbookViewId="0">
      <pane ySplit="1" topLeftCell="A98" activePane="bottomLeft" state="frozen"/>
      <selection pane="bottomLeft" activeCell="A45" sqref="A45:XFD50"/>
    </sheetView>
  </sheetViews>
  <sheetFormatPr defaultColWidth="10.9296875" defaultRowHeight="14.25" x14ac:dyDescent="0.45"/>
  <cols>
    <col min="1" max="1" width="6.19921875" style="3" bestFit="1" customWidth="1"/>
    <col min="2" max="2" width="5.265625" style="3" bestFit="1" customWidth="1"/>
    <col min="3" max="3" width="19.265625" style="3" bestFit="1" customWidth="1"/>
    <col min="4" max="4" width="22.265625" style="3" bestFit="1" customWidth="1"/>
    <col min="5" max="5" width="8.73046875"/>
    <col min="6" max="6" width="8.73046875" style="12"/>
    <col min="7" max="7" width="10.265625" style="3" bestFit="1" customWidth="1"/>
    <col min="8" max="8" width="10.59765625" style="12" bestFit="1" customWidth="1"/>
    <col min="9" max="10" width="10" style="3" bestFit="1" customWidth="1"/>
    <col min="11" max="11" width="9.9296875" style="3" bestFit="1" customWidth="1"/>
    <col min="12" max="12" width="9.73046875" style="3" bestFit="1" customWidth="1"/>
    <col min="13" max="13" width="9" style="3" bestFit="1" customWidth="1"/>
    <col min="14" max="14" width="8.59765625" style="3" bestFit="1" customWidth="1"/>
    <col min="15" max="15" width="10.265625" style="3" bestFit="1" customWidth="1"/>
    <col min="16" max="16" width="15.19921875" style="3" bestFit="1" customWidth="1"/>
    <col min="17" max="17" width="16.33203125" style="3" bestFit="1" customWidth="1"/>
    <col min="18" max="18" width="16.796875" style="3" bestFit="1" customWidth="1"/>
    <col min="19" max="19" width="4.9296875" style="3" bestFit="1" customWidth="1"/>
    <col min="20" max="20" width="10.59765625" style="3" bestFit="1" customWidth="1"/>
    <col min="21" max="21" width="18.33203125" style="3" bestFit="1" customWidth="1"/>
    <col min="22" max="22" width="11.265625" style="3" bestFit="1" customWidth="1"/>
    <col min="23" max="23" width="5.59765625" style="3" bestFit="1" customWidth="1"/>
    <col min="24" max="24" width="12.53125" style="3" bestFit="1" customWidth="1"/>
    <col min="25" max="16384" width="10.9296875" style="3"/>
  </cols>
  <sheetData>
    <row r="1" spans="1:24" s="14" customFormat="1" ht="15.75" x14ac:dyDescent="0.55000000000000004">
      <c r="A1" s="1" t="s">
        <v>0</v>
      </c>
      <c r="B1" s="1" t="s">
        <v>1</v>
      </c>
      <c r="C1" s="2" t="s">
        <v>19</v>
      </c>
      <c r="D1" s="2" t="s">
        <v>6</v>
      </c>
      <c r="E1" s="12" t="s">
        <v>56</v>
      </c>
      <c r="F1" s="12" t="s">
        <v>166</v>
      </c>
      <c r="G1" s="2" t="s">
        <v>46</v>
      </c>
      <c r="H1" s="12" t="s">
        <v>63</v>
      </c>
      <c r="I1" s="2" t="s">
        <v>12</v>
      </c>
      <c r="J1" s="2" t="s">
        <v>13</v>
      </c>
      <c r="K1" s="2" t="s">
        <v>14</v>
      </c>
      <c r="L1" s="2" t="s">
        <v>15</v>
      </c>
      <c r="M1" s="2" t="s">
        <v>7</v>
      </c>
      <c r="N1" s="2" t="s">
        <v>8</v>
      </c>
      <c r="O1" s="1" t="s">
        <v>16</v>
      </c>
      <c r="P1" s="1" t="s">
        <v>9</v>
      </c>
      <c r="Q1" s="2" t="s">
        <v>10</v>
      </c>
      <c r="R1" s="2" t="s">
        <v>17</v>
      </c>
      <c r="S1" s="2" t="s">
        <v>2</v>
      </c>
      <c r="T1" s="2" t="s">
        <v>11</v>
      </c>
      <c r="U1" s="2" t="s">
        <v>3</v>
      </c>
      <c r="V1" s="2" t="s">
        <v>18</v>
      </c>
      <c r="W1" s="2" t="s">
        <v>4</v>
      </c>
      <c r="X1" s="1" t="s">
        <v>5</v>
      </c>
    </row>
    <row r="2" spans="1:24" x14ac:dyDescent="0.45">
      <c r="A2" s="12" t="s">
        <v>65</v>
      </c>
      <c r="B2" s="12">
        <v>2018</v>
      </c>
      <c r="C2" s="12">
        <v>20.7</v>
      </c>
      <c r="D2" s="12">
        <v>71</v>
      </c>
      <c r="E2" s="12" t="s">
        <v>57</v>
      </c>
      <c r="F2" s="12" t="s">
        <v>57</v>
      </c>
      <c r="G2" s="12">
        <v>-3.55</v>
      </c>
      <c r="H2" s="12">
        <v>-1.1200000000000001</v>
      </c>
      <c r="I2" s="18">
        <v>0</v>
      </c>
      <c r="J2" s="18">
        <v>0</v>
      </c>
      <c r="K2" s="18">
        <v>0.23</v>
      </c>
      <c r="L2" s="18">
        <v>0.24</v>
      </c>
      <c r="M2" s="12">
        <v>0.97</v>
      </c>
      <c r="N2" s="12">
        <v>0.06</v>
      </c>
      <c r="O2" s="12">
        <v>-0.56999999999999995</v>
      </c>
      <c r="P2" s="12">
        <v>17.600000000000001</v>
      </c>
      <c r="Q2" s="12">
        <v>0.39</v>
      </c>
      <c r="R2" s="12">
        <v>8.08</v>
      </c>
      <c r="S2" s="12">
        <v>8.19</v>
      </c>
      <c r="T2" s="12">
        <v>3.1</v>
      </c>
      <c r="U2" s="12">
        <v>55</v>
      </c>
      <c r="V2">
        <v>0.82</v>
      </c>
      <c r="W2" s="12">
        <v>52.9</v>
      </c>
      <c r="X2" s="12">
        <v>1.72</v>
      </c>
    </row>
    <row r="3" spans="1:24" x14ac:dyDescent="0.45">
      <c r="A3" s="12" t="s">
        <v>66</v>
      </c>
      <c r="B3" s="12">
        <v>2019</v>
      </c>
      <c r="C3" s="12">
        <v>14.4</v>
      </c>
      <c r="D3" s="12">
        <v>95</v>
      </c>
      <c r="E3" s="12" t="s">
        <v>57</v>
      </c>
      <c r="F3" s="12" t="s">
        <v>57</v>
      </c>
      <c r="G3" s="12">
        <v>-2.95</v>
      </c>
      <c r="H3" s="12">
        <v>-0.52</v>
      </c>
      <c r="I3" s="18">
        <v>0.2</v>
      </c>
      <c r="J3" s="18">
        <v>6.91</v>
      </c>
      <c r="K3" s="18">
        <v>2.57</v>
      </c>
      <c r="L3" s="18">
        <v>11.89</v>
      </c>
      <c r="M3" s="12">
        <v>9.6300000000000008</v>
      </c>
      <c r="N3" s="12">
        <v>0.62</v>
      </c>
      <c r="O3" s="12">
        <v>-0.72</v>
      </c>
      <c r="P3" s="12">
        <v>20.6</v>
      </c>
      <c r="Q3" s="12">
        <v>0.09</v>
      </c>
      <c r="R3" s="12">
        <v>7.28</v>
      </c>
      <c r="S3" s="12">
        <v>7.85</v>
      </c>
      <c r="T3" s="12">
        <v>2.5</v>
      </c>
      <c r="U3" s="12">
        <v>20</v>
      </c>
      <c r="V3">
        <v>0.41</v>
      </c>
      <c r="W3" s="12">
        <v>23.5</v>
      </c>
      <c r="X3" s="12">
        <v>2.11</v>
      </c>
    </row>
    <row r="4" spans="1:24" x14ac:dyDescent="0.45">
      <c r="A4" s="12" t="s">
        <v>67</v>
      </c>
      <c r="B4" s="12">
        <v>2019</v>
      </c>
      <c r="C4" s="12">
        <v>4.8</v>
      </c>
      <c r="D4" s="12">
        <v>70</v>
      </c>
      <c r="E4" s="12" t="s">
        <v>57</v>
      </c>
      <c r="F4" s="12" t="s">
        <v>57</v>
      </c>
      <c r="G4" s="12">
        <v>-2.57</v>
      </c>
      <c r="H4" s="12">
        <v>-0.28000000000000003</v>
      </c>
      <c r="I4" s="18">
        <v>0.17</v>
      </c>
      <c r="J4" s="18">
        <v>12.13</v>
      </c>
      <c r="K4" s="18">
        <v>0.3</v>
      </c>
      <c r="L4" s="18">
        <v>1.18</v>
      </c>
      <c r="M4" s="12">
        <v>2.4</v>
      </c>
      <c r="N4" s="12">
        <v>0.2</v>
      </c>
      <c r="O4" s="12">
        <v>-0.12</v>
      </c>
      <c r="P4" s="12">
        <v>19</v>
      </c>
      <c r="Q4" s="12">
        <v>0.26</v>
      </c>
      <c r="R4" s="12">
        <v>7.28</v>
      </c>
      <c r="S4" s="12">
        <v>7.61</v>
      </c>
      <c r="T4" s="12">
        <v>5.2</v>
      </c>
      <c r="U4" s="12">
        <v>30</v>
      </c>
      <c r="V4">
        <v>0.5</v>
      </c>
      <c r="W4" s="12">
        <v>20</v>
      </c>
      <c r="X4" s="12">
        <v>1.98</v>
      </c>
    </row>
    <row r="5" spans="1:24" x14ac:dyDescent="0.45">
      <c r="A5" s="12" t="s">
        <v>68</v>
      </c>
      <c r="B5" s="12">
        <v>2018</v>
      </c>
      <c r="C5" s="12">
        <v>9.8000000000000007</v>
      </c>
      <c r="D5" s="12">
        <v>93</v>
      </c>
      <c r="E5" s="12" t="s">
        <v>57</v>
      </c>
      <c r="F5" s="12" t="s">
        <v>57</v>
      </c>
      <c r="G5" s="12">
        <v>-2.5499999999999998</v>
      </c>
      <c r="H5" s="12">
        <v>0.66</v>
      </c>
      <c r="I5" s="18">
        <v>0.05</v>
      </c>
      <c r="J5" s="18">
        <v>4.5</v>
      </c>
      <c r="K5" s="18">
        <v>0</v>
      </c>
      <c r="L5" s="18">
        <v>0.25</v>
      </c>
      <c r="M5" s="12">
        <v>3.25</v>
      </c>
      <c r="N5" s="12">
        <v>0.12</v>
      </c>
      <c r="O5" s="12">
        <v>0.17</v>
      </c>
      <c r="P5" s="12">
        <v>19.600000000000001</v>
      </c>
      <c r="Q5" s="12">
        <v>0.13</v>
      </c>
      <c r="R5" s="12">
        <v>7.28</v>
      </c>
      <c r="S5" s="12">
        <v>8.18</v>
      </c>
      <c r="T5" s="12">
        <v>4.2</v>
      </c>
      <c r="U5" s="12">
        <v>40</v>
      </c>
      <c r="V5">
        <v>0.43</v>
      </c>
      <c r="W5" s="12">
        <v>30.4</v>
      </c>
      <c r="X5" s="12">
        <v>2.0099999999999998</v>
      </c>
    </row>
    <row r="6" spans="1:24" x14ac:dyDescent="0.45">
      <c r="A6" s="12" t="s">
        <v>69</v>
      </c>
      <c r="B6" s="12">
        <v>2019</v>
      </c>
      <c r="C6" s="12">
        <v>17.3</v>
      </c>
      <c r="D6" s="12">
        <v>95</v>
      </c>
      <c r="E6" s="12" t="s">
        <v>57</v>
      </c>
      <c r="F6" s="12" t="s">
        <v>167</v>
      </c>
      <c r="G6" s="12">
        <v>-3.14</v>
      </c>
      <c r="H6" s="12">
        <v>0.16</v>
      </c>
      <c r="I6" s="18">
        <v>0.49</v>
      </c>
      <c r="J6" s="18">
        <v>65.27</v>
      </c>
      <c r="K6" s="18">
        <v>1.86</v>
      </c>
      <c r="L6" s="18">
        <v>16.11</v>
      </c>
      <c r="M6" s="12">
        <v>21.47</v>
      </c>
      <c r="N6" s="12">
        <v>0.08</v>
      </c>
      <c r="O6" s="12">
        <v>-0.37</v>
      </c>
      <c r="P6" s="12">
        <v>19.399999999999999</v>
      </c>
      <c r="Q6" s="12">
        <v>0.08</v>
      </c>
      <c r="R6" s="12">
        <v>6.23</v>
      </c>
      <c r="S6" s="12">
        <v>7.89</v>
      </c>
      <c r="T6" s="12">
        <v>4.7</v>
      </c>
      <c r="U6" s="12">
        <v>80</v>
      </c>
      <c r="V6">
        <v>0.51</v>
      </c>
      <c r="W6" s="12">
        <v>20.8</v>
      </c>
      <c r="X6" s="12">
        <v>2.0499999999999998</v>
      </c>
    </row>
    <row r="7" spans="1:24" x14ac:dyDescent="0.45">
      <c r="A7" s="12" t="s">
        <v>70</v>
      </c>
      <c r="B7" s="12">
        <v>2018</v>
      </c>
      <c r="C7" s="12">
        <v>10.8</v>
      </c>
      <c r="D7" s="12">
        <v>56</v>
      </c>
      <c r="E7" s="12" t="s">
        <v>57</v>
      </c>
      <c r="F7" s="12" t="s">
        <v>57</v>
      </c>
      <c r="G7" s="12">
        <v>-1.89</v>
      </c>
      <c r="H7" s="12">
        <v>0.53</v>
      </c>
      <c r="I7" s="18">
        <v>0.03</v>
      </c>
      <c r="J7" s="18">
        <v>2.08</v>
      </c>
      <c r="K7" s="18">
        <v>0.4</v>
      </c>
      <c r="L7" s="18">
        <v>0.95</v>
      </c>
      <c r="M7" s="12">
        <v>2.98</v>
      </c>
      <c r="N7" s="12">
        <v>0.26</v>
      </c>
      <c r="O7" s="12">
        <v>-7.0000000000000007E-2</v>
      </c>
      <c r="P7" s="12">
        <v>21.8</v>
      </c>
      <c r="Q7" s="12">
        <v>0.1</v>
      </c>
      <c r="R7" s="12">
        <v>4.83</v>
      </c>
      <c r="S7" s="12">
        <v>7.77</v>
      </c>
      <c r="T7" s="12">
        <v>3.5</v>
      </c>
      <c r="U7" s="12">
        <v>95</v>
      </c>
      <c r="V7">
        <v>0.3</v>
      </c>
      <c r="W7" s="12">
        <v>36</v>
      </c>
      <c r="X7" s="12">
        <v>2.19</v>
      </c>
    </row>
    <row r="8" spans="1:24" x14ac:dyDescent="0.45">
      <c r="A8" s="12" t="s">
        <v>71</v>
      </c>
      <c r="B8" s="12">
        <v>2019</v>
      </c>
      <c r="C8" s="12">
        <v>19.100000000000001</v>
      </c>
      <c r="D8" s="12">
        <v>48</v>
      </c>
      <c r="E8" s="12" t="s">
        <v>57</v>
      </c>
      <c r="F8" s="12" t="s">
        <v>57</v>
      </c>
      <c r="G8" s="12">
        <v>-1.26</v>
      </c>
      <c r="H8" s="12">
        <v>1.17</v>
      </c>
      <c r="I8" s="18">
        <v>7.0000000000000007E-2</v>
      </c>
      <c r="J8" s="18">
        <v>5.53</v>
      </c>
      <c r="K8" s="18">
        <v>0.03</v>
      </c>
      <c r="L8" s="18">
        <v>0.17</v>
      </c>
      <c r="M8" s="12">
        <v>2.29</v>
      </c>
      <c r="N8" s="12">
        <v>0.11</v>
      </c>
      <c r="O8" s="12">
        <v>-0.15</v>
      </c>
      <c r="P8" s="12">
        <v>20.6</v>
      </c>
      <c r="Q8" s="12">
        <v>0.3</v>
      </c>
      <c r="R8" s="12">
        <v>7.78</v>
      </c>
      <c r="S8" s="12">
        <v>7.29</v>
      </c>
      <c r="T8" s="12">
        <v>5.2</v>
      </c>
      <c r="U8" s="12">
        <v>90</v>
      </c>
      <c r="V8">
        <v>0.63</v>
      </c>
      <c r="W8" s="12">
        <v>36.4</v>
      </c>
      <c r="X8" s="12">
        <v>1.98</v>
      </c>
    </row>
    <row r="9" spans="1:24" x14ac:dyDescent="0.45">
      <c r="A9" s="12" t="s">
        <v>72</v>
      </c>
      <c r="B9" s="12">
        <v>2019</v>
      </c>
      <c r="C9" s="12">
        <v>17.5</v>
      </c>
      <c r="D9" s="12">
        <v>71</v>
      </c>
      <c r="E9" s="12" t="s">
        <v>57</v>
      </c>
      <c r="F9" s="12" t="s">
        <v>57</v>
      </c>
      <c r="G9" s="12">
        <v>-2.1800000000000002</v>
      </c>
      <c r="H9" s="12">
        <v>0.24</v>
      </c>
      <c r="I9" s="18">
        <v>0.11</v>
      </c>
      <c r="J9" s="18">
        <v>5.31</v>
      </c>
      <c r="K9" s="18">
        <v>0.32</v>
      </c>
      <c r="L9" s="18">
        <v>0.31</v>
      </c>
      <c r="M9" s="12">
        <v>1.54</v>
      </c>
      <c r="N9" s="12">
        <v>0.03</v>
      </c>
      <c r="O9" s="12">
        <v>-0.56000000000000005</v>
      </c>
      <c r="P9" s="12">
        <v>19.899999999999999</v>
      </c>
      <c r="Q9" s="12">
        <v>0.11</v>
      </c>
      <c r="R9" s="12">
        <v>4.41</v>
      </c>
      <c r="S9" s="12">
        <v>7.21</v>
      </c>
      <c r="T9" s="12">
        <v>5.0999999999999996</v>
      </c>
      <c r="U9" s="12">
        <v>70</v>
      </c>
      <c r="V9">
        <v>0.45</v>
      </c>
      <c r="W9" s="12">
        <v>14.8</v>
      </c>
      <c r="X9" s="12">
        <v>2.0099999999999998</v>
      </c>
    </row>
    <row r="10" spans="1:24" x14ac:dyDescent="0.45">
      <c r="A10" s="12" t="s">
        <v>73</v>
      </c>
      <c r="B10" s="12">
        <v>2018</v>
      </c>
      <c r="C10" s="12">
        <v>18.5</v>
      </c>
      <c r="D10" s="12">
        <v>67</v>
      </c>
      <c r="E10" s="12" t="s">
        <v>57</v>
      </c>
      <c r="F10" s="12" t="s">
        <v>57</v>
      </c>
      <c r="G10" s="12">
        <v>-2.12</v>
      </c>
      <c r="H10" s="12">
        <v>0.3</v>
      </c>
      <c r="I10" s="18">
        <v>1</v>
      </c>
      <c r="J10" s="18">
        <v>45</v>
      </c>
      <c r="K10" s="18">
        <v>0.68</v>
      </c>
      <c r="L10" s="18">
        <v>1.82</v>
      </c>
      <c r="M10" s="12">
        <v>15.46</v>
      </c>
      <c r="N10" s="12">
        <v>0.96</v>
      </c>
      <c r="O10" s="12">
        <v>-0.05</v>
      </c>
      <c r="P10" s="12">
        <v>18</v>
      </c>
      <c r="Q10" s="12">
        <v>0.38</v>
      </c>
      <c r="R10" s="12">
        <v>6.33</v>
      </c>
      <c r="S10" s="12">
        <v>7.72</v>
      </c>
      <c r="T10" s="12">
        <v>4.8</v>
      </c>
      <c r="U10" s="12">
        <v>55</v>
      </c>
      <c r="V10">
        <v>0.38</v>
      </c>
      <c r="W10" s="12">
        <v>23.9</v>
      </c>
      <c r="X10" s="12">
        <v>2.1800000000000002</v>
      </c>
    </row>
    <row r="11" spans="1:24" x14ac:dyDescent="0.45">
      <c r="A11" s="12" t="s">
        <v>74</v>
      </c>
      <c r="B11" s="12">
        <v>2019</v>
      </c>
      <c r="C11" s="12">
        <v>19.3</v>
      </c>
      <c r="D11" s="12">
        <v>64</v>
      </c>
      <c r="E11" s="12" t="s">
        <v>58</v>
      </c>
      <c r="F11" s="12" t="s">
        <v>57</v>
      </c>
      <c r="G11" s="12">
        <v>-2.4500000000000002</v>
      </c>
      <c r="H11" s="12">
        <v>0.28000000000000003</v>
      </c>
      <c r="I11" s="18">
        <v>0.21</v>
      </c>
      <c r="J11" s="18">
        <v>54.17</v>
      </c>
      <c r="K11" s="18">
        <v>0.1</v>
      </c>
      <c r="L11" s="18">
        <v>1.05</v>
      </c>
      <c r="M11" s="12">
        <v>14.67</v>
      </c>
      <c r="N11" s="12">
        <v>0.54</v>
      </c>
      <c r="O11" s="12">
        <v>-0.08</v>
      </c>
      <c r="P11" s="12">
        <v>17.600000000000001</v>
      </c>
      <c r="Q11" s="12">
        <v>0.19</v>
      </c>
      <c r="R11" s="12">
        <v>6.97</v>
      </c>
      <c r="S11" s="12">
        <v>7.13</v>
      </c>
      <c r="T11" s="12">
        <v>2.2000000000000002</v>
      </c>
      <c r="U11" s="12">
        <v>75</v>
      </c>
      <c r="V11">
        <v>0.65</v>
      </c>
      <c r="W11" s="12">
        <v>52.8</v>
      </c>
      <c r="X11" s="12">
        <v>1.89</v>
      </c>
    </row>
    <row r="12" spans="1:24" x14ac:dyDescent="0.45">
      <c r="A12" s="12" t="s">
        <v>75</v>
      </c>
      <c r="B12" s="12">
        <v>2019</v>
      </c>
      <c r="C12" s="12">
        <v>5.9</v>
      </c>
      <c r="D12" s="12">
        <v>94</v>
      </c>
      <c r="E12" s="12" t="s">
        <v>57</v>
      </c>
      <c r="F12" s="12" t="s">
        <v>57</v>
      </c>
      <c r="G12" s="12">
        <v>-2.13</v>
      </c>
      <c r="H12" s="12">
        <v>0.77</v>
      </c>
      <c r="I12" s="18">
        <v>0.37</v>
      </c>
      <c r="J12" s="18">
        <v>40.090000000000003</v>
      </c>
      <c r="K12" s="18">
        <v>1.76</v>
      </c>
      <c r="L12" s="18">
        <v>0.83</v>
      </c>
      <c r="M12" s="12">
        <v>12.96</v>
      </c>
      <c r="N12" s="12">
        <v>1.38</v>
      </c>
      <c r="O12" s="12">
        <v>-0.11</v>
      </c>
      <c r="P12" s="12">
        <v>16.600000000000001</v>
      </c>
      <c r="Q12" s="12">
        <v>0.36</v>
      </c>
      <c r="R12" s="12">
        <v>7.77</v>
      </c>
      <c r="S12" s="12">
        <v>7.12</v>
      </c>
      <c r="T12" s="12">
        <v>4.5</v>
      </c>
      <c r="U12" s="12">
        <v>0</v>
      </c>
      <c r="V12">
        <v>0.15</v>
      </c>
      <c r="W12" s="12">
        <v>7.9</v>
      </c>
      <c r="X12" s="12">
        <v>2.1</v>
      </c>
    </row>
    <row r="13" spans="1:24" x14ac:dyDescent="0.45">
      <c r="A13" s="12" t="s">
        <v>76</v>
      </c>
      <c r="B13" s="12">
        <v>2018</v>
      </c>
      <c r="C13" s="12">
        <v>5.9</v>
      </c>
      <c r="D13" s="12">
        <v>88</v>
      </c>
      <c r="E13" s="12" t="s">
        <v>57</v>
      </c>
      <c r="F13" s="12" t="s">
        <v>57</v>
      </c>
      <c r="G13" s="12">
        <v>-2.52</v>
      </c>
      <c r="H13" s="12">
        <v>0.23</v>
      </c>
      <c r="I13" s="18">
        <v>0.95</v>
      </c>
      <c r="J13" s="18">
        <v>32</v>
      </c>
      <c r="K13" s="18">
        <v>0.18</v>
      </c>
      <c r="L13" s="18">
        <v>0.68</v>
      </c>
      <c r="M13" s="12">
        <v>10.83</v>
      </c>
      <c r="N13" s="12">
        <v>0.28000000000000003</v>
      </c>
      <c r="O13" s="12">
        <v>-0.37</v>
      </c>
      <c r="P13" s="12">
        <v>17.7</v>
      </c>
      <c r="Q13" s="12">
        <v>0.31</v>
      </c>
      <c r="R13" s="12">
        <v>7.14</v>
      </c>
      <c r="S13" s="12">
        <v>7.98</v>
      </c>
      <c r="T13" s="12">
        <v>4.2</v>
      </c>
      <c r="U13" s="12">
        <v>55</v>
      </c>
      <c r="V13">
        <v>0.7</v>
      </c>
      <c r="W13" s="12">
        <v>37.299999999999997</v>
      </c>
      <c r="X13" s="12">
        <v>1.99</v>
      </c>
    </row>
    <row r="14" spans="1:24" x14ac:dyDescent="0.45">
      <c r="A14" s="12" t="s">
        <v>77</v>
      </c>
      <c r="B14" s="12">
        <v>2018</v>
      </c>
      <c r="C14" s="12">
        <v>4.5999999999999996</v>
      </c>
      <c r="D14" s="12">
        <v>96</v>
      </c>
      <c r="E14" s="12" t="s">
        <v>57</v>
      </c>
      <c r="F14" s="12" t="s">
        <v>57</v>
      </c>
      <c r="G14" s="12">
        <v>-5</v>
      </c>
      <c r="H14" s="12">
        <v>-2.68</v>
      </c>
      <c r="I14" s="18">
        <v>0.36</v>
      </c>
      <c r="J14" s="18">
        <v>0.8</v>
      </c>
      <c r="K14" s="18">
        <v>0</v>
      </c>
      <c r="L14" s="18">
        <v>0.08</v>
      </c>
      <c r="M14" s="12">
        <v>7.84</v>
      </c>
      <c r="N14" s="12">
        <v>0.02</v>
      </c>
      <c r="O14" s="12">
        <v>-0.87</v>
      </c>
      <c r="P14" s="12">
        <v>19.8</v>
      </c>
      <c r="Q14" s="12">
        <v>0.19</v>
      </c>
      <c r="R14" s="12">
        <v>5.17</v>
      </c>
      <c r="S14" s="12">
        <v>7.8</v>
      </c>
      <c r="T14" s="12">
        <v>4.4000000000000004</v>
      </c>
      <c r="U14" s="12">
        <v>15</v>
      </c>
      <c r="V14">
        <v>0.79</v>
      </c>
      <c r="W14" s="12">
        <v>20</v>
      </c>
      <c r="X14" s="12">
        <v>2.15</v>
      </c>
    </row>
    <row r="15" spans="1:24" x14ac:dyDescent="0.45">
      <c r="A15" s="12" t="s">
        <v>78</v>
      </c>
      <c r="B15" s="12">
        <v>2019</v>
      </c>
      <c r="C15" s="12">
        <v>13</v>
      </c>
      <c r="D15" s="12">
        <v>83</v>
      </c>
      <c r="E15" s="12" t="s">
        <v>58</v>
      </c>
      <c r="F15" s="12" t="s">
        <v>57</v>
      </c>
      <c r="G15" s="12">
        <v>-2.4900000000000002</v>
      </c>
      <c r="H15" s="12">
        <v>0.63</v>
      </c>
      <c r="I15" s="18">
        <v>0.56000000000000005</v>
      </c>
      <c r="J15" s="18">
        <v>48.72</v>
      </c>
      <c r="K15" s="18">
        <v>0.25</v>
      </c>
      <c r="L15" s="18">
        <v>2.09</v>
      </c>
      <c r="M15" s="12">
        <v>16.16</v>
      </c>
      <c r="N15" s="12">
        <v>0.37</v>
      </c>
      <c r="O15" s="12">
        <v>-0.26</v>
      </c>
      <c r="P15" s="12">
        <v>18.100000000000001</v>
      </c>
      <c r="Q15" s="12">
        <v>0.42</v>
      </c>
      <c r="R15" s="12">
        <v>8.61</v>
      </c>
      <c r="S15" s="12">
        <v>6.75</v>
      </c>
      <c r="T15" s="12">
        <v>5.4</v>
      </c>
      <c r="U15" s="12">
        <v>25</v>
      </c>
      <c r="V15">
        <v>0.17</v>
      </c>
      <c r="W15" s="12">
        <v>9.8000000000000007</v>
      </c>
      <c r="X15" s="12">
        <v>2.42</v>
      </c>
    </row>
    <row r="16" spans="1:24" x14ac:dyDescent="0.45">
      <c r="A16" s="12" t="s">
        <v>79</v>
      </c>
      <c r="B16" s="12">
        <v>2019</v>
      </c>
      <c r="C16" s="12">
        <v>14.5</v>
      </c>
      <c r="D16" s="12">
        <v>73</v>
      </c>
      <c r="E16" s="12" t="s">
        <v>57</v>
      </c>
      <c r="F16" s="12" t="s">
        <v>57</v>
      </c>
      <c r="G16" s="12">
        <v>-2.52</v>
      </c>
      <c r="H16" s="12">
        <v>0.38</v>
      </c>
      <c r="I16" s="18">
        <v>0.13</v>
      </c>
      <c r="J16" s="18">
        <v>35.770000000000003</v>
      </c>
      <c r="K16" s="18">
        <v>0.18</v>
      </c>
      <c r="L16" s="18">
        <v>0.27</v>
      </c>
      <c r="M16" s="12">
        <v>12.5</v>
      </c>
      <c r="N16" s="12">
        <v>0.36</v>
      </c>
      <c r="O16" s="12">
        <v>-0.11</v>
      </c>
      <c r="P16" s="12">
        <v>18.2</v>
      </c>
      <c r="Q16" s="12">
        <v>0.36</v>
      </c>
      <c r="R16" s="12">
        <v>7.88</v>
      </c>
      <c r="S16" s="12">
        <v>7.28</v>
      </c>
      <c r="T16" s="12">
        <v>3</v>
      </c>
      <c r="U16" s="12">
        <v>95</v>
      </c>
      <c r="V16">
        <v>0.5</v>
      </c>
      <c r="W16" s="12">
        <v>41.3</v>
      </c>
      <c r="X16" s="12">
        <v>1.74</v>
      </c>
    </row>
    <row r="17" spans="1:24" x14ac:dyDescent="0.45">
      <c r="A17" s="12" t="s">
        <v>80</v>
      </c>
      <c r="B17" s="12">
        <v>2019</v>
      </c>
      <c r="C17" s="12">
        <v>12.2</v>
      </c>
      <c r="D17" s="12">
        <v>87</v>
      </c>
      <c r="E17" s="12" t="s">
        <v>57</v>
      </c>
      <c r="F17" s="12" t="s">
        <v>57</v>
      </c>
      <c r="G17" s="12">
        <v>-2.5499999999999998</v>
      </c>
      <c r="H17" s="12">
        <v>-0.05</v>
      </c>
      <c r="I17" s="18">
        <v>0.33</v>
      </c>
      <c r="J17" s="18">
        <v>32.83</v>
      </c>
      <c r="K17" s="18">
        <v>0.16</v>
      </c>
      <c r="L17" s="18">
        <v>0.54</v>
      </c>
      <c r="M17" s="12">
        <v>9.26</v>
      </c>
      <c r="N17" s="12">
        <v>0.13</v>
      </c>
      <c r="O17" s="12">
        <v>-0.7</v>
      </c>
      <c r="P17" s="12">
        <v>18.2</v>
      </c>
      <c r="Q17" s="12">
        <v>0.5</v>
      </c>
      <c r="R17" s="12">
        <v>8.27</v>
      </c>
      <c r="S17" s="12">
        <v>7.16</v>
      </c>
      <c r="T17" s="12">
        <v>2.4</v>
      </c>
      <c r="U17" s="12">
        <v>60</v>
      </c>
      <c r="V17">
        <v>0.49</v>
      </c>
      <c r="W17" s="12">
        <v>36.200000000000003</v>
      </c>
      <c r="X17" s="12">
        <v>2.13</v>
      </c>
    </row>
    <row r="18" spans="1:24" x14ac:dyDescent="0.45">
      <c r="A18" s="12" t="s">
        <v>81</v>
      </c>
      <c r="B18" s="12">
        <v>2019</v>
      </c>
      <c r="C18" s="12">
        <v>10.1</v>
      </c>
      <c r="D18" s="12">
        <v>99</v>
      </c>
      <c r="E18" s="12" t="s">
        <v>57</v>
      </c>
      <c r="F18" s="12" t="s">
        <v>57</v>
      </c>
      <c r="G18" s="12">
        <v>-2.8</v>
      </c>
      <c r="H18" s="12">
        <v>-0.5</v>
      </c>
      <c r="I18" s="18">
        <v>0.25</v>
      </c>
      <c r="J18" s="18">
        <v>24.21</v>
      </c>
      <c r="K18" s="18">
        <v>0.34</v>
      </c>
      <c r="L18" s="18">
        <v>0.56999999999999995</v>
      </c>
      <c r="M18" s="12">
        <v>7.2</v>
      </c>
      <c r="N18" s="12">
        <v>0.15</v>
      </c>
      <c r="O18" s="12">
        <v>0.39</v>
      </c>
      <c r="P18" s="12">
        <v>17.600000000000001</v>
      </c>
      <c r="Q18" s="12">
        <v>0.55000000000000004</v>
      </c>
      <c r="R18" s="12">
        <v>8.2799999999999994</v>
      </c>
      <c r="S18" s="12">
        <v>7.19</v>
      </c>
      <c r="T18" s="12">
        <v>3.1</v>
      </c>
      <c r="U18" s="12">
        <v>35</v>
      </c>
      <c r="V18">
        <v>0.47</v>
      </c>
      <c r="W18" s="12">
        <v>43.3</v>
      </c>
      <c r="X18" s="12">
        <v>2.19</v>
      </c>
    </row>
    <row r="19" spans="1:24" x14ac:dyDescent="0.45">
      <c r="A19" s="12" t="s">
        <v>82</v>
      </c>
      <c r="B19" s="12">
        <v>2018</v>
      </c>
      <c r="C19" s="12">
        <v>21.2</v>
      </c>
      <c r="D19" s="12">
        <v>81</v>
      </c>
      <c r="E19" s="12" t="s">
        <v>58</v>
      </c>
      <c r="F19" s="12" t="s">
        <v>57</v>
      </c>
      <c r="G19" s="12">
        <v>-1.43</v>
      </c>
      <c r="H19" s="12">
        <v>0.99</v>
      </c>
      <c r="I19" s="18">
        <v>1</v>
      </c>
      <c r="J19" s="18">
        <v>64.5</v>
      </c>
      <c r="K19" s="18">
        <v>1.3</v>
      </c>
      <c r="L19" s="18">
        <v>0.94</v>
      </c>
      <c r="M19" s="12">
        <v>9.92</v>
      </c>
      <c r="N19" s="12">
        <v>0.49</v>
      </c>
      <c r="O19" s="12">
        <v>-0.28000000000000003</v>
      </c>
      <c r="P19" s="12">
        <v>19.100000000000001</v>
      </c>
      <c r="Q19" s="12">
        <v>0.19</v>
      </c>
      <c r="R19" s="12">
        <v>6.03</v>
      </c>
      <c r="S19" s="12">
        <v>7.86</v>
      </c>
      <c r="T19" s="12">
        <v>4.3</v>
      </c>
      <c r="U19" s="12">
        <v>55</v>
      </c>
      <c r="V19">
        <v>0.33</v>
      </c>
      <c r="W19" s="12">
        <v>25</v>
      </c>
      <c r="X19" s="12">
        <v>2.12</v>
      </c>
    </row>
    <row r="20" spans="1:24" x14ac:dyDescent="0.45">
      <c r="A20" s="12" t="s">
        <v>83</v>
      </c>
      <c r="B20" s="12">
        <v>2018</v>
      </c>
      <c r="C20" s="12">
        <v>11.6</v>
      </c>
      <c r="D20" s="12">
        <v>80</v>
      </c>
      <c r="E20" s="12" t="s">
        <v>57</v>
      </c>
      <c r="F20" s="12" t="s">
        <v>57</v>
      </c>
      <c r="G20" s="12">
        <v>-2.2200000000000002</v>
      </c>
      <c r="H20" s="12">
        <v>0.61</v>
      </c>
      <c r="I20" s="18">
        <v>0.85</v>
      </c>
      <c r="J20" s="18">
        <v>36.5</v>
      </c>
      <c r="K20" s="18">
        <v>7.0000000000000007E-2</v>
      </c>
      <c r="L20" s="18">
        <v>0.67</v>
      </c>
      <c r="M20" s="12">
        <v>9.68</v>
      </c>
      <c r="N20" s="12">
        <v>0.43</v>
      </c>
      <c r="O20" s="12">
        <v>-0.04</v>
      </c>
      <c r="P20" s="12">
        <v>18.8</v>
      </c>
      <c r="Q20" s="12">
        <v>0.23</v>
      </c>
      <c r="R20" s="12">
        <v>7.01</v>
      </c>
      <c r="S20" s="12">
        <v>8.06</v>
      </c>
      <c r="T20" s="12">
        <v>4.5999999999999996</v>
      </c>
      <c r="U20" s="12">
        <v>70</v>
      </c>
      <c r="V20">
        <v>0.44</v>
      </c>
      <c r="W20" s="12">
        <v>28.2</v>
      </c>
      <c r="X20" s="12">
        <v>2.16</v>
      </c>
    </row>
    <row r="21" spans="1:24" x14ac:dyDescent="0.45">
      <c r="A21" s="12" t="s">
        <v>84</v>
      </c>
      <c r="B21" s="12">
        <v>2019</v>
      </c>
      <c r="C21" s="12">
        <v>21.9</v>
      </c>
      <c r="D21" s="12">
        <v>82</v>
      </c>
      <c r="E21" s="12" t="s">
        <v>58</v>
      </c>
      <c r="F21" s="12" t="s">
        <v>57</v>
      </c>
      <c r="G21" s="12">
        <v>-3.08</v>
      </c>
      <c r="H21" s="12">
        <v>-0.09</v>
      </c>
      <c r="I21" s="18">
        <v>0.46</v>
      </c>
      <c r="J21" s="18">
        <v>46.31</v>
      </c>
      <c r="K21" s="18">
        <v>0.7</v>
      </c>
      <c r="L21" s="18">
        <v>0.96</v>
      </c>
      <c r="M21" s="12">
        <v>12.02</v>
      </c>
      <c r="N21" s="12">
        <v>0.57999999999999996</v>
      </c>
      <c r="O21" s="12">
        <v>-0.03</v>
      </c>
      <c r="P21" s="12">
        <v>20.6</v>
      </c>
      <c r="Q21" s="12">
        <v>0.44</v>
      </c>
      <c r="R21" s="12">
        <v>5.76</v>
      </c>
      <c r="S21" s="12">
        <v>7.21</v>
      </c>
      <c r="T21" s="12">
        <v>4.7</v>
      </c>
      <c r="U21" s="12">
        <v>50</v>
      </c>
      <c r="V21">
        <v>0.41</v>
      </c>
      <c r="W21" s="12">
        <v>36.4</v>
      </c>
      <c r="X21" s="12">
        <v>2.12</v>
      </c>
    </row>
    <row r="22" spans="1:24" x14ac:dyDescent="0.45">
      <c r="A22" s="12" t="s">
        <v>85</v>
      </c>
      <c r="B22" s="12">
        <v>2019</v>
      </c>
      <c r="C22" s="12">
        <v>8.1</v>
      </c>
      <c r="D22" s="12">
        <v>51</v>
      </c>
      <c r="E22" s="12" t="s">
        <v>57</v>
      </c>
      <c r="F22" s="12" t="s">
        <v>57</v>
      </c>
      <c r="G22" s="12">
        <v>-3.38</v>
      </c>
      <c r="H22" s="12">
        <v>-0.69</v>
      </c>
      <c r="I22" s="18">
        <v>0.47</v>
      </c>
      <c r="J22" s="18">
        <v>15.7</v>
      </c>
      <c r="K22" s="18">
        <v>0.83</v>
      </c>
      <c r="L22" s="18">
        <v>1.3</v>
      </c>
      <c r="M22" s="12">
        <v>5.33</v>
      </c>
      <c r="N22" s="12">
        <v>1.35</v>
      </c>
      <c r="O22" s="12">
        <v>-0.32</v>
      </c>
      <c r="P22" s="12">
        <v>17.8</v>
      </c>
      <c r="Q22" s="12">
        <v>0.14000000000000001</v>
      </c>
      <c r="R22" s="12">
        <v>8.19</v>
      </c>
      <c r="S22" s="12">
        <v>6.66</v>
      </c>
      <c r="T22" s="12">
        <v>2.2999999999999998</v>
      </c>
      <c r="U22" s="12">
        <v>100</v>
      </c>
      <c r="V22">
        <v>0.46</v>
      </c>
      <c r="W22" s="12">
        <v>33.299999999999997</v>
      </c>
      <c r="X22" s="12">
        <v>1.9</v>
      </c>
    </row>
    <row r="23" spans="1:24" x14ac:dyDescent="0.45">
      <c r="A23" s="12" t="s">
        <v>86</v>
      </c>
      <c r="B23" s="12">
        <v>2019</v>
      </c>
      <c r="C23" s="12">
        <v>11.4</v>
      </c>
      <c r="D23" s="12">
        <v>60</v>
      </c>
      <c r="E23" s="12" t="s">
        <v>57</v>
      </c>
      <c r="F23" s="12" t="s">
        <v>57</v>
      </c>
      <c r="G23" s="12">
        <v>-3.07</v>
      </c>
      <c r="H23" s="12">
        <v>-0.11</v>
      </c>
      <c r="I23" s="18">
        <v>0.28000000000000003</v>
      </c>
      <c r="J23" s="18">
        <v>15.37</v>
      </c>
      <c r="K23" s="18">
        <v>0.36</v>
      </c>
      <c r="L23" s="18">
        <v>0.78</v>
      </c>
      <c r="M23" s="12">
        <v>5.2</v>
      </c>
      <c r="N23" s="12">
        <v>0.18</v>
      </c>
      <c r="O23" s="12">
        <v>-0.31</v>
      </c>
      <c r="P23" s="12">
        <v>18.5</v>
      </c>
      <c r="Q23" s="12">
        <v>0.17</v>
      </c>
      <c r="R23" s="12">
        <v>7.79</v>
      </c>
      <c r="S23" s="12">
        <v>7</v>
      </c>
      <c r="T23" s="12">
        <v>4.5</v>
      </c>
      <c r="U23" s="12">
        <v>25</v>
      </c>
      <c r="V23">
        <v>0.25</v>
      </c>
      <c r="W23" s="12">
        <v>7.7</v>
      </c>
      <c r="X23" s="12">
        <v>2.57</v>
      </c>
    </row>
    <row r="24" spans="1:24" x14ac:dyDescent="0.45">
      <c r="A24" s="12" t="s">
        <v>87</v>
      </c>
      <c r="B24" s="12">
        <v>2019</v>
      </c>
      <c r="C24" s="12">
        <v>17.600000000000001</v>
      </c>
      <c r="D24" s="12">
        <v>41</v>
      </c>
      <c r="E24" s="12" t="s">
        <v>57</v>
      </c>
      <c r="F24" s="12" t="s">
        <v>57</v>
      </c>
      <c r="G24" s="12">
        <v>-1.56</v>
      </c>
      <c r="H24" s="12">
        <v>0.87</v>
      </c>
      <c r="I24" s="18">
        <v>0.32</v>
      </c>
      <c r="J24" s="18">
        <v>15.67</v>
      </c>
      <c r="K24" s="18">
        <v>0.16</v>
      </c>
      <c r="L24" s="18">
        <v>0.76</v>
      </c>
      <c r="M24" s="12">
        <v>4.3899999999999997</v>
      </c>
      <c r="N24" s="12">
        <v>0.28999999999999998</v>
      </c>
      <c r="O24" s="12">
        <v>-0.05</v>
      </c>
      <c r="P24" s="12">
        <v>17.5</v>
      </c>
      <c r="Q24" s="12">
        <v>0.34</v>
      </c>
      <c r="R24" s="12">
        <v>8.75</v>
      </c>
      <c r="S24" s="12">
        <v>6.41</v>
      </c>
      <c r="T24" s="12">
        <v>4.2</v>
      </c>
      <c r="U24" s="12">
        <v>90</v>
      </c>
      <c r="V24">
        <v>0.45</v>
      </c>
      <c r="W24" s="12">
        <v>30.4</v>
      </c>
      <c r="X24" s="12">
        <v>1.96</v>
      </c>
    </row>
    <row r="25" spans="1:24" x14ac:dyDescent="0.45">
      <c r="A25" s="12" t="s">
        <v>88</v>
      </c>
      <c r="B25" s="12">
        <v>2018</v>
      </c>
      <c r="C25" s="12">
        <v>22.6</v>
      </c>
      <c r="D25" s="12">
        <v>83</v>
      </c>
      <c r="E25" s="12" t="s">
        <v>57</v>
      </c>
      <c r="F25" s="12" t="s">
        <v>57</v>
      </c>
      <c r="G25" s="12">
        <v>-1.43</v>
      </c>
      <c r="H25" s="12">
        <v>0.99</v>
      </c>
      <c r="I25" s="18">
        <v>1</v>
      </c>
      <c r="J25" s="18">
        <v>40</v>
      </c>
      <c r="K25" s="18">
        <v>0.71</v>
      </c>
      <c r="L25" s="18">
        <v>0.8</v>
      </c>
      <c r="M25" s="12">
        <v>7.49</v>
      </c>
      <c r="N25" s="12">
        <v>0.11</v>
      </c>
      <c r="O25" s="12">
        <v>-0.43</v>
      </c>
      <c r="P25" s="12">
        <v>21.1</v>
      </c>
      <c r="Q25" s="12">
        <v>0.45</v>
      </c>
      <c r="R25" s="12">
        <v>7.22</v>
      </c>
      <c r="S25" s="12">
        <v>7.88</v>
      </c>
      <c r="T25" s="12">
        <v>4.5</v>
      </c>
      <c r="U25" s="12">
        <v>25</v>
      </c>
      <c r="V25">
        <v>0</v>
      </c>
      <c r="W25" s="12">
        <v>3.3</v>
      </c>
      <c r="X25" s="12">
        <v>2.2799999999999998</v>
      </c>
    </row>
    <row r="26" spans="1:24" x14ac:dyDescent="0.45">
      <c r="A26" s="12" t="s">
        <v>89</v>
      </c>
      <c r="B26" s="12">
        <v>2018</v>
      </c>
      <c r="C26" s="12">
        <v>5.7</v>
      </c>
      <c r="D26" s="12">
        <v>60</v>
      </c>
      <c r="E26" s="12" t="s">
        <v>57</v>
      </c>
      <c r="F26" s="12" t="s">
        <v>57</v>
      </c>
      <c r="G26" s="12">
        <v>-1.77</v>
      </c>
      <c r="H26" s="12">
        <v>0.89</v>
      </c>
      <c r="I26" s="18">
        <v>0.64</v>
      </c>
      <c r="J26" s="18">
        <v>25</v>
      </c>
      <c r="K26" s="18">
        <v>1</v>
      </c>
      <c r="L26" s="18">
        <v>3</v>
      </c>
      <c r="M26" s="12">
        <v>4.9000000000000004</v>
      </c>
      <c r="N26" s="12">
        <v>1.0900000000000001</v>
      </c>
      <c r="O26" s="12">
        <v>-0.5</v>
      </c>
      <c r="P26" s="12">
        <v>18.7</v>
      </c>
      <c r="Q26" s="12">
        <v>0.31</v>
      </c>
      <c r="R26" s="12">
        <v>6.96</v>
      </c>
      <c r="S26" s="12">
        <v>7.68</v>
      </c>
      <c r="T26" s="12">
        <v>2.8</v>
      </c>
      <c r="U26" s="12">
        <v>40</v>
      </c>
      <c r="V26">
        <v>0.35</v>
      </c>
      <c r="W26" s="12">
        <v>21.9</v>
      </c>
      <c r="X26" s="12">
        <v>2.14</v>
      </c>
    </row>
    <row r="27" spans="1:24" x14ac:dyDescent="0.45">
      <c r="A27" s="12" t="s">
        <v>90</v>
      </c>
      <c r="B27" s="12">
        <v>2019</v>
      </c>
      <c r="C27" s="12">
        <v>8.5</v>
      </c>
      <c r="D27" s="12">
        <v>56</v>
      </c>
      <c r="E27" s="12" t="s">
        <v>58</v>
      </c>
      <c r="F27" s="12" t="s">
        <v>57</v>
      </c>
      <c r="G27" s="12">
        <v>-2.4500000000000002</v>
      </c>
      <c r="H27" s="12">
        <v>-0.03</v>
      </c>
      <c r="I27" s="18">
        <v>0.16</v>
      </c>
      <c r="J27" s="18">
        <v>6.96</v>
      </c>
      <c r="K27" s="18">
        <v>0.37</v>
      </c>
      <c r="L27" s="18">
        <v>3.59</v>
      </c>
      <c r="M27" s="12">
        <v>2.5499999999999998</v>
      </c>
      <c r="N27" s="12">
        <v>0.16</v>
      </c>
      <c r="O27" s="12">
        <v>-1</v>
      </c>
      <c r="P27" s="12">
        <v>18.8</v>
      </c>
      <c r="Q27" s="12">
        <v>0.12</v>
      </c>
      <c r="R27" s="12">
        <v>4.53</v>
      </c>
      <c r="S27" s="12">
        <v>7.93</v>
      </c>
      <c r="T27" s="12">
        <v>4.5999999999999996</v>
      </c>
      <c r="U27" s="12">
        <v>65</v>
      </c>
      <c r="V27">
        <v>0.4</v>
      </c>
      <c r="W27" s="12">
        <v>16.7</v>
      </c>
      <c r="X27" s="12">
        <v>1.98</v>
      </c>
    </row>
    <row r="28" spans="1:24" x14ac:dyDescent="0.45">
      <c r="A28" s="12" t="s">
        <v>91</v>
      </c>
      <c r="B28" s="12">
        <v>2018</v>
      </c>
      <c r="C28" s="12">
        <v>23.7</v>
      </c>
      <c r="D28" s="12">
        <v>86</v>
      </c>
      <c r="E28" s="12" t="s">
        <v>57</v>
      </c>
      <c r="F28" s="12" t="s">
        <v>57</v>
      </c>
      <c r="G28" s="12">
        <v>-2.57</v>
      </c>
      <c r="H28" s="12">
        <v>0</v>
      </c>
      <c r="I28" s="18">
        <v>0.48</v>
      </c>
      <c r="J28" s="18">
        <v>22.5</v>
      </c>
      <c r="K28" s="18">
        <v>0</v>
      </c>
      <c r="L28" s="18">
        <v>0.74</v>
      </c>
      <c r="M28" s="12">
        <v>9.5</v>
      </c>
      <c r="N28" s="12">
        <v>0.12</v>
      </c>
      <c r="O28" s="12">
        <v>-0.66</v>
      </c>
      <c r="P28" s="12">
        <v>17.7</v>
      </c>
      <c r="Q28" s="12">
        <v>0.32</v>
      </c>
      <c r="R28" s="12">
        <v>7.24</v>
      </c>
      <c r="S28" s="12">
        <v>8.3699999999999992</v>
      </c>
      <c r="T28" s="12">
        <v>2.5</v>
      </c>
      <c r="U28" s="12">
        <v>55</v>
      </c>
      <c r="V28">
        <v>0.43</v>
      </c>
      <c r="W28" s="12">
        <v>20.2</v>
      </c>
      <c r="X28" s="12">
        <v>2.15</v>
      </c>
    </row>
    <row r="29" spans="1:24" x14ac:dyDescent="0.45">
      <c r="A29" s="12" t="s">
        <v>92</v>
      </c>
      <c r="B29" s="12">
        <v>2019</v>
      </c>
      <c r="C29" s="12">
        <v>10.8</v>
      </c>
      <c r="D29" s="12">
        <v>96</v>
      </c>
      <c r="E29" s="12" t="s">
        <v>57</v>
      </c>
      <c r="F29" s="12" t="s">
        <v>57</v>
      </c>
      <c r="G29" s="12">
        <v>-3.57</v>
      </c>
      <c r="H29" s="12">
        <v>-1.08</v>
      </c>
      <c r="I29" s="18">
        <v>0.08</v>
      </c>
      <c r="J29" s="18">
        <v>5.85</v>
      </c>
      <c r="K29" s="18">
        <v>0.08</v>
      </c>
      <c r="L29" s="18">
        <v>1.43</v>
      </c>
      <c r="M29" s="12">
        <v>1.74</v>
      </c>
      <c r="N29" s="12">
        <v>0.09</v>
      </c>
      <c r="O29" s="12">
        <v>-1.1299999999999999</v>
      </c>
      <c r="P29" s="12">
        <v>20.399999999999999</v>
      </c>
      <c r="Q29" s="12">
        <v>0.13</v>
      </c>
      <c r="R29" s="12">
        <v>6.39</v>
      </c>
      <c r="S29" s="12">
        <v>7.67</v>
      </c>
      <c r="T29" s="12">
        <v>4.5999999999999996</v>
      </c>
      <c r="U29" s="12">
        <v>30</v>
      </c>
      <c r="V29">
        <v>0.62</v>
      </c>
      <c r="W29" s="12">
        <v>23.7</v>
      </c>
      <c r="X29" s="12">
        <v>1.74</v>
      </c>
    </row>
    <row r="30" spans="1:24" x14ac:dyDescent="0.45">
      <c r="A30" s="12" t="s">
        <v>93</v>
      </c>
      <c r="B30" s="12">
        <v>2019</v>
      </c>
      <c r="C30" s="12">
        <v>12.3</v>
      </c>
      <c r="D30" s="12">
        <v>84</v>
      </c>
      <c r="E30" s="12" t="s">
        <v>57</v>
      </c>
      <c r="F30" s="12" t="s">
        <v>57</v>
      </c>
      <c r="G30" s="12">
        <v>-2.83</v>
      </c>
      <c r="H30" s="12">
        <v>-0.34</v>
      </c>
      <c r="I30" s="18">
        <v>0.23</v>
      </c>
      <c r="J30" s="18">
        <v>17.16</v>
      </c>
      <c r="K30" s="18">
        <v>0.98</v>
      </c>
      <c r="L30" s="18">
        <v>2.54</v>
      </c>
      <c r="M30" s="12">
        <v>5.05</v>
      </c>
      <c r="N30" s="12">
        <v>0.19</v>
      </c>
      <c r="O30" s="12">
        <v>-0.7</v>
      </c>
      <c r="P30" s="12">
        <v>19.8</v>
      </c>
      <c r="Q30" s="12">
        <v>0.01</v>
      </c>
      <c r="R30" s="12">
        <v>5.35</v>
      </c>
      <c r="S30" s="12">
        <v>7.7</v>
      </c>
      <c r="T30" s="12">
        <v>5.8</v>
      </c>
      <c r="U30" s="12">
        <v>30</v>
      </c>
      <c r="V30">
        <v>0.4</v>
      </c>
      <c r="W30" s="12">
        <v>8.8000000000000007</v>
      </c>
      <c r="X30" s="12">
        <v>2.37</v>
      </c>
    </row>
    <row r="31" spans="1:24" x14ac:dyDescent="0.45">
      <c r="A31" s="12" t="s">
        <v>94</v>
      </c>
      <c r="B31" s="12">
        <v>2019</v>
      </c>
      <c r="C31" s="12">
        <v>9.1</v>
      </c>
      <c r="D31" s="12">
        <v>80</v>
      </c>
      <c r="E31" s="12" t="s">
        <v>57</v>
      </c>
      <c r="F31" s="12" t="s">
        <v>57</v>
      </c>
      <c r="G31" s="12">
        <v>-3.2</v>
      </c>
      <c r="H31" s="12">
        <v>-0.2</v>
      </c>
      <c r="I31" s="18">
        <v>0.37</v>
      </c>
      <c r="J31" s="18">
        <v>15.21</v>
      </c>
      <c r="K31" s="18">
        <v>1.1499999999999999</v>
      </c>
      <c r="L31" s="18">
        <v>0.96</v>
      </c>
      <c r="M31" s="12">
        <v>6.21</v>
      </c>
      <c r="N31" s="12">
        <v>0.18</v>
      </c>
      <c r="O31" s="12">
        <v>-0.22</v>
      </c>
      <c r="P31" s="12">
        <v>18.7</v>
      </c>
      <c r="Q31" s="12">
        <v>0.08</v>
      </c>
      <c r="R31" s="12">
        <v>4.08</v>
      </c>
      <c r="S31" s="12">
        <v>7.44</v>
      </c>
      <c r="T31" s="12">
        <v>3.8</v>
      </c>
      <c r="U31" s="12">
        <v>80</v>
      </c>
      <c r="V31">
        <v>0.35</v>
      </c>
      <c r="W31" s="12">
        <v>13.2</v>
      </c>
      <c r="X31" s="12">
        <v>2.4500000000000002</v>
      </c>
    </row>
    <row r="32" spans="1:24" x14ac:dyDescent="0.45">
      <c r="A32" s="12" t="s">
        <v>95</v>
      </c>
      <c r="B32" s="12">
        <v>2019</v>
      </c>
      <c r="C32" s="12">
        <v>13.1</v>
      </c>
      <c r="D32" s="12">
        <v>68</v>
      </c>
      <c r="E32" s="12" t="s">
        <v>57</v>
      </c>
      <c r="F32" s="12" t="s">
        <v>57</v>
      </c>
      <c r="G32" s="12">
        <v>0.35</v>
      </c>
      <c r="H32" s="12">
        <v>2.77</v>
      </c>
      <c r="I32" s="18">
        <v>0.16</v>
      </c>
      <c r="J32" s="18">
        <v>6.32</v>
      </c>
      <c r="K32" s="18">
        <v>0.55000000000000004</v>
      </c>
      <c r="L32" s="18">
        <v>0.35</v>
      </c>
      <c r="M32" s="12">
        <v>3.29</v>
      </c>
      <c r="N32" s="12">
        <v>0.22</v>
      </c>
      <c r="O32" s="12">
        <v>-0.63</v>
      </c>
      <c r="P32" s="12">
        <v>20.5</v>
      </c>
      <c r="Q32" s="12">
        <v>0.26</v>
      </c>
      <c r="R32" s="12">
        <v>7.28</v>
      </c>
      <c r="S32" s="12">
        <v>7.97</v>
      </c>
      <c r="T32" s="12">
        <v>4.2</v>
      </c>
      <c r="U32" s="12">
        <v>55</v>
      </c>
      <c r="V32">
        <v>0.24</v>
      </c>
      <c r="W32" s="12">
        <v>8.8000000000000007</v>
      </c>
      <c r="X32" s="12">
        <v>2.4</v>
      </c>
    </row>
    <row r="33" spans="1:24" x14ac:dyDescent="0.45">
      <c r="A33" s="12" t="s">
        <v>96</v>
      </c>
      <c r="B33" s="12">
        <v>2018</v>
      </c>
      <c r="C33" s="12">
        <v>6.6</v>
      </c>
      <c r="D33" s="12">
        <v>97</v>
      </c>
      <c r="E33" s="12" t="s">
        <v>57</v>
      </c>
      <c r="F33" s="12" t="s">
        <v>57</v>
      </c>
      <c r="G33" s="12">
        <v>-1.47</v>
      </c>
      <c r="H33" s="12">
        <v>1.55</v>
      </c>
      <c r="I33" s="18">
        <v>0.78</v>
      </c>
      <c r="J33" s="18">
        <v>17</v>
      </c>
      <c r="K33" s="18">
        <v>0.5</v>
      </c>
      <c r="L33" s="18">
        <v>0.67</v>
      </c>
      <c r="M33" s="12">
        <v>3.8</v>
      </c>
      <c r="N33" s="12">
        <v>0.09</v>
      </c>
      <c r="O33" s="12">
        <v>0.09</v>
      </c>
      <c r="P33" s="12">
        <v>17.8</v>
      </c>
      <c r="Q33" s="12">
        <v>0.02</v>
      </c>
      <c r="R33" s="12">
        <v>5.69</v>
      </c>
      <c r="S33" s="12">
        <v>7.85</v>
      </c>
      <c r="T33" s="12">
        <v>5</v>
      </c>
      <c r="U33" s="12">
        <v>40</v>
      </c>
      <c r="V33">
        <v>0.19</v>
      </c>
      <c r="W33" s="12">
        <v>5.6</v>
      </c>
      <c r="X33" s="12">
        <v>2.52</v>
      </c>
    </row>
    <row r="34" spans="1:24" x14ac:dyDescent="0.45">
      <c r="A34" s="12" t="s">
        <v>97</v>
      </c>
      <c r="B34" s="12">
        <v>2018</v>
      </c>
      <c r="C34" s="12">
        <v>9.4</v>
      </c>
      <c r="D34" s="12">
        <v>50</v>
      </c>
      <c r="E34" s="12" t="s">
        <v>57</v>
      </c>
      <c r="F34" s="12" t="s">
        <v>57</v>
      </c>
      <c r="G34" s="12">
        <v>-2.62</v>
      </c>
      <c r="H34" s="12">
        <v>-0.01</v>
      </c>
      <c r="I34" s="18">
        <v>0.12</v>
      </c>
      <c r="J34" s="18">
        <v>10</v>
      </c>
      <c r="K34" s="18">
        <v>0.7</v>
      </c>
      <c r="L34" s="18">
        <v>0.25</v>
      </c>
      <c r="M34" s="12">
        <v>3.49</v>
      </c>
      <c r="N34" s="12">
        <v>0.03</v>
      </c>
      <c r="O34" s="12">
        <v>-0.46</v>
      </c>
      <c r="P34" s="12">
        <v>17.7</v>
      </c>
      <c r="Q34" s="12">
        <v>0.24</v>
      </c>
      <c r="R34" s="12">
        <v>7.28</v>
      </c>
      <c r="S34" s="12">
        <v>8.11</v>
      </c>
      <c r="T34" s="12">
        <v>4.3</v>
      </c>
      <c r="U34" s="12">
        <v>45</v>
      </c>
      <c r="V34">
        <v>0.48</v>
      </c>
      <c r="W34" s="12">
        <v>28.6</v>
      </c>
      <c r="X34" s="12">
        <v>2.19</v>
      </c>
    </row>
    <row r="35" spans="1:24" x14ac:dyDescent="0.45">
      <c r="A35" s="12" t="s">
        <v>98</v>
      </c>
      <c r="B35" s="12">
        <v>2018</v>
      </c>
      <c r="C35" s="12">
        <v>16.8</v>
      </c>
      <c r="D35" s="12">
        <v>96</v>
      </c>
      <c r="E35" s="12" t="s">
        <v>57</v>
      </c>
      <c r="F35" s="12" t="s">
        <v>57</v>
      </c>
      <c r="G35" s="12">
        <v>-1.99</v>
      </c>
      <c r="H35" s="12">
        <v>0.43</v>
      </c>
      <c r="I35" s="18">
        <v>0.46</v>
      </c>
      <c r="J35" s="18">
        <v>45.5</v>
      </c>
      <c r="K35" s="18">
        <v>4.5199999999999996</v>
      </c>
      <c r="L35" s="18">
        <v>0.25</v>
      </c>
      <c r="M35" s="12">
        <v>3.33</v>
      </c>
      <c r="N35" s="12">
        <v>0.06</v>
      </c>
      <c r="O35" s="12">
        <v>-0.22</v>
      </c>
      <c r="P35" s="12">
        <v>21.1</v>
      </c>
      <c r="Q35" s="12">
        <v>0.25</v>
      </c>
      <c r="R35" s="12">
        <v>6.99</v>
      </c>
      <c r="S35" s="12">
        <v>7.56</v>
      </c>
      <c r="T35" s="12">
        <v>5.6</v>
      </c>
      <c r="U35" s="12">
        <v>45</v>
      </c>
      <c r="V35">
        <v>0.5</v>
      </c>
      <c r="W35" s="12">
        <v>21.1</v>
      </c>
      <c r="X35" s="12">
        <v>2.2599999999999998</v>
      </c>
    </row>
    <row r="36" spans="1:24" x14ac:dyDescent="0.45">
      <c r="A36" s="12" t="s">
        <v>99</v>
      </c>
      <c r="B36" s="12">
        <v>2018</v>
      </c>
      <c r="C36" s="12">
        <v>11.9</v>
      </c>
      <c r="D36" s="12">
        <v>83</v>
      </c>
      <c r="E36" s="12" t="s">
        <v>57</v>
      </c>
      <c r="F36" s="12" t="s">
        <v>57</v>
      </c>
      <c r="G36" s="12">
        <v>-1.83</v>
      </c>
      <c r="H36" s="12">
        <v>1.08</v>
      </c>
      <c r="I36" s="18">
        <v>0.92</v>
      </c>
      <c r="J36" s="18">
        <v>10</v>
      </c>
      <c r="K36" s="18">
        <v>0.48</v>
      </c>
      <c r="L36" s="18">
        <v>0.5</v>
      </c>
      <c r="M36" s="12">
        <v>12.24</v>
      </c>
      <c r="N36" s="12">
        <v>1.18</v>
      </c>
      <c r="O36" s="12">
        <v>0.04</v>
      </c>
      <c r="P36" s="12">
        <v>19.7</v>
      </c>
      <c r="Q36" s="12">
        <v>0.17</v>
      </c>
      <c r="R36" s="12">
        <v>6.46</v>
      </c>
      <c r="S36" s="12">
        <v>8.39</v>
      </c>
      <c r="T36" s="12">
        <v>4.7</v>
      </c>
      <c r="U36" s="12">
        <v>25</v>
      </c>
      <c r="V36">
        <v>0.53</v>
      </c>
      <c r="W36" s="12">
        <v>36</v>
      </c>
      <c r="X36" s="12">
        <v>2.09</v>
      </c>
    </row>
    <row r="37" spans="1:24" x14ac:dyDescent="0.45">
      <c r="A37" s="12" t="s">
        <v>99</v>
      </c>
      <c r="B37" s="12">
        <v>2019</v>
      </c>
      <c r="C37" s="12">
        <v>12</v>
      </c>
      <c r="D37" s="12">
        <v>83</v>
      </c>
      <c r="E37" s="12" t="s">
        <v>57</v>
      </c>
      <c r="F37" s="12" t="s">
        <v>57</v>
      </c>
      <c r="G37" s="12">
        <v>-1.48</v>
      </c>
      <c r="H37" s="12">
        <v>1.33</v>
      </c>
      <c r="I37" s="18">
        <v>1.1499999999999999</v>
      </c>
      <c r="J37" s="18">
        <v>35.49</v>
      </c>
      <c r="K37" s="18">
        <v>1.1000000000000001</v>
      </c>
      <c r="L37" s="18">
        <v>2.82</v>
      </c>
      <c r="M37" s="12">
        <v>5.2</v>
      </c>
      <c r="N37" s="12">
        <v>0.18</v>
      </c>
      <c r="O37" s="12">
        <v>-0.3</v>
      </c>
      <c r="P37" s="12">
        <v>19.600000000000001</v>
      </c>
      <c r="Q37" s="12">
        <v>0.27</v>
      </c>
      <c r="R37" s="12">
        <v>8.66</v>
      </c>
      <c r="S37" s="12">
        <v>8.2200000000000006</v>
      </c>
      <c r="T37" s="12">
        <v>4.7</v>
      </c>
      <c r="U37" s="12">
        <v>15</v>
      </c>
      <c r="V37">
        <v>0.53</v>
      </c>
      <c r="W37" s="12">
        <v>27.3</v>
      </c>
      <c r="X37" s="12">
        <v>2.17</v>
      </c>
    </row>
    <row r="38" spans="1:24" x14ac:dyDescent="0.45">
      <c r="A38" s="12" t="s">
        <v>100</v>
      </c>
      <c r="B38" s="12">
        <v>2018</v>
      </c>
      <c r="C38" s="12">
        <v>9.3000000000000007</v>
      </c>
      <c r="D38" s="12">
        <v>61</v>
      </c>
      <c r="E38" s="12" t="s">
        <v>57</v>
      </c>
      <c r="F38" s="12" t="s">
        <v>57</v>
      </c>
      <c r="G38" s="12">
        <v>-2.38</v>
      </c>
      <c r="H38" s="12">
        <v>0.95</v>
      </c>
      <c r="I38" s="18">
        <v>0.23</v>
      </c>
      <c r="J38" s="18">
        <v>10</v>
      </c>
      <c r="K38" s="18">
        <v>0.25</v>
      </c>
      <c r="L38" s="18">
        <v>0.25</v>
      </c>
      <c r="M38" s="12">
        <v>9.61</v>
      </c>
      <c r="N38" s="12">
        <v>1.03</v>
      </c>
      <c r="O38" s="12">
        <v>-0.76</v>
      </c>
      <c r="P38" s="12">
        <v>20.100000000000001</v>
      </c>
      <c r="Q38" s="12">
        <v>0.21</v>
      </c>
      <c r="R38" s="12">
        <v>8.68</v>
      </c>
      <c r="S38" s="12">
        <v>8.01</v>
      </c>
      <c r="T38" s="12">
        <v>3.9</v>
      </c>
      <c r="U38" s="12">
        <v>100</v>
      </c>
      <c r="V38">
        <v>0.63</v>
      </c>
      <c r="W38" s="12">
        <v>34.799999999999997</v>
      </c>
      <c r="X38" s="12">
        <v>2.1</v>
      </c>
    </row>
    <row r="39" spans="1:24" x14ac:dyDescent="0.45">
      <c r="A39" s="12" t="s">
        <v>101</v>
      </c>
      <c r="B39" s="12">
        <v>2019</v>
      </c>
      <c r="C39" s="12">
        <v>16.2</v>
      </c>
      <c r="D39" s="12">
        <v>79</v>
      </c>
      <c r="E39" s="12" t="s">
        <v>57</v>
      </c>
      <c r="F39" s="12" t="s">
        <v>168</v>
      </c>
      <c r="G39" s="12">
        <v>-3.05</v>
      </c>
      <c r="H39" s="12">
        <v>-1.1599999999999999</v>
      </c>
      <c r="I39" s="18">
        <v>0.13</v>
      </c>
      <c r="J39" s="18">
        <v>17.28</v>
      </c>
      <c r="K39" s="18">
        <v>0.13</v>
      </c>
      <c r="L39" s="18">
        <v>0.22</v>
      </c>
      <c r="M39" s="12">
        <v>5.66</v>
      </c>
      <c r="N39" s="12">
        <v>7.0000000000000007E-2</v>
      </c>
      <c r="O39" s="12">
        <v>-0.45</v>
      </c>
      <c r="P39" s="12">
        <v>16.3</v>
      </c>
      <c r="Q39" s="12">
        <v>0.36</v>
      </c>
      <c r="R39" s="12">
        <v>8.8800000000000008</v>
      </c>
      <c r="S39" s="12">
        <v>7.22</v>
      </c>
      <c r="T39" s="12">
        <v>3.1</v>
      </c>
      <c r="U39" s="12">
        <v>80</v>
      </c>
      <c r="V39">
        <v>0.76</v>
      </c>
      <c r="W39" s="12">
        <v>36.799999999999997</v>
      </c>
      <c r="X39" s="12">
        <v>1.86</v>
      </c>
    </row>
    <row r="40" spans="1:24" x14ac:dyDescent="0.45">
      <c r="A40" s="12" t="s">
        <v>102</v>
      </c>
      <c r="B40" s="12">
        <v>2019</v>
      </c>
      <c r="C40" s="12">
        <v>4.5</v>
      </c>
      <c r="D40" s="12">
        <v>85</v>
      </c>
      <c r="E40" s="12" t="s">
        <v>57</v>
      </c>
      <c r="F40" s="12" t="s">
        <v>57</v>
      </c>
      <c r="G40" s="12">
        <v>-1.26</v>
      </c>
      <c r="H40" s="12">
        <v>1.32</v>
      </c>
      <c r="I40" s="18">
        <v>0.59</v>
      </c>
      <c r="J40" s="18">
        <v>100.55</v>
      </c>
      <c r="K40" s="18">
        <v>0.45</v>
      </c>
      <c r="L40" s="18">
        <v>1.65</v>
      </c>
      <c r="M40" s="12">
        <v>24.2</v>
      </c>
      <c r="N40" s="12">
        <v>0.4</v>
      </c>
      <c r="O40" s="12">
        <v>-0.7</v>
      </c>
      <c r="P40" s="12">
        <v>16.899999999999999</v>
      </c>
      <c r="Q40" s="12">
        <v>0.19</v>
      </c>
      <c r="R40" s="12">
        <v>9.44</v>
      </c>
      <c r="S40" s="12">
        <v>8.07</v>
      </c>
      <c r="T40" s="12">
        <v>5</v>
      </c>
      <c r="U40" s="12">
        <v>50</v>
      </c>
      <c r="V40">
        <v>0.47</v>
      </c>
      <c r="W40" s="12">
        <v>19.2</v>
      </c>
      <c r="X40" s="12">
        <v>2.0699999999999998</v>
      </c>
    </row>
    <row r="41" spans="1:24" x14ac:dyDescent="0.45">
      <c r="A41" s="12" t="s">
        <v>103</v>
      </c>
      <c r="B41" s="12">
        <v>2019</v>
      </c>
      <c r="C41" s="12">
        <v>7.5</v>
      </c>
      <c r="D41" s="12">
        <v>92</v>
      </c>
      <c r="E41" s="12" t="s">
        <v>57</v>
      </c>
      <c r="F41" s="12" t="s">
        <v>57</v>
      </c>
      <c r="G41" s="12">
        <v>-1.85</v>
      </c>
      <c r="H41" s="12">
        <v>0.41</v>
      </c>
      <c r="I41" s="18">
        <v>2.2400000000000002</v>
      </c>
      <c r="J41" s="18">
        <v>42.71</v>
      </c>
      <c r="K41" s="18">
        <v>1.9</v>
      </c>
      <c r="L41" s="18">
        <v>10.17</v>
      </c>
      <c r="M41" s="12">
        <v>13.75</v>
      </c>
      <c r="N41" s="12">
        <v>3.77</v>
      </c>
      <c r="O41" s="12">
        <v>-0.52</v>
      </c>
      <c r="P41" s="12">
        <v>16.8</v>
      </c>
      <c r="Q41" s="12">
        <v>0.2</v>
      </c>
      <c r="R41" s="12">
        <v>8.3000000000000007</v>
      </c>
      <c r="S41" s="12">
        <v>8.1</v>
      </c>
      <c r="T41" s="12">
        <v>5.0999999999999996</v>
      </c>
      <c r="U41" s="12">
        <v>20</v>
      </c>
      <c r="V41">
        <v>0.47</v>
      </c>
      <c r="W41" s="12">
        <v>20.3</v>
      </c>
      <c r="X41" s="12">
        <v>1.89</v>
      </c>
    </row>
    <row r="42" spans="1:24" x14ac:dyDescent="0.45">
      <c r="A42" s="12" t="s">
        <v>104</v>
      </c>
      <c r="B42" s="12">
        <v>2018</v>
      </c>
      <c r="C42" s="12">
        <v>16.7</v>
      </c>
      <c r="D42" s="12">
        <v>70</v>
      </c>
      <c r="E42" s="12" t="s">
        <v>57</v>
      </c>
      <c r="F42" s="12" t="s">
        <v>57</v>
      </c>
      <c r="G42" s="12">
        <v>-1.9</v>
      </c>
      <c r="H42" s="12">
        <v>0.79</v>
      </c>
      <c r="I42" s="18">
        <v>0.43</v>
      </c>
      <c r="J42" s="18">
        <v>25</v>
      </c>
      <c r="K42" s="18">
        <v>0.4</v>
      </c>
      <c r="L42" s="18">
        <v>0.65</v>
      </c>
      <c r="M42" s="12">
        <v>6.84</v>
      </c>
      <c r="N42" s="12">
        <v>0.2</v>
      </c>
      <c r="O42" s="12">
        <v>0.03</v>
      </c>
      <c r="P42" s="12">
        <v>18.399999999999999</v>
      </c>
      <c r="Q42" s="12">
        <v>0.31</v>
      </c>
      <c r="R42" s="12">
        <v>8.27</v>
      </c>
      <c r="S42" s="12">
        <v>8.26</v>
      </c>
      <c r="T42" s="12">
        <v>4.7</v>
      </c>
      <c r="U42" s="12">
        <v>20</v>
      </c>
      <c r="V42">
        <v>0.53</v>
      </c>
      <c r="W42" s="12">
        <v>27.7</v>
      </c>
      <c r="X42" s="12">
        <v>1.6</v>
      </c>
    </row>
    <row r="43" spans="1:24" x14ac:dyDescent="0.45">
      <c r="A43" s="12" t="s">
        <v>105</v>
      </c>
      <c r="B43" s="12">
        <v>2018</v>
      </c>
      <c r="C43" s="12">
        <v>16.399999999999999</v>
      </c>
      <c r="D43" s="12">
        <v>92</v>
      </c>
      <c r="E43" s="12" t="s">
        <v>57</v>
      </c>
      <c r="F43" s="12" t="s">
        <v>57</v>
      </c>
      <c r="G43" s="12">
        <v>-1.58</v>
      </c>
      <c r="H43" s="12">
        <v>1.08</v>
      </c>
      <c r="I43" s="18">
        <v>0.25</v>
      </c>
      <c r="J43" s="18">
        <v>10</v>
      </c>
      <c r="K43" s="18">
        <v>2.25</v>
      </c>
      <c r="L43" s="18">
        <v>0.25</v>
      </c>
      <c r="M43" s="12">
        <v>4.18</v>
      </c>
      <c r="N43" s="12">
        <v>0.08</v>
      </c>
      <c r="O43" s="12">
        <v>-0.02</v>
      </c>
      <c r="P43" s="12">
        <v>16.399999999999999</v>
      </c>
      <c r="Q43" s="12">
        <v>0.44</v>
      </c>
      <c r="R43" s="12">
        <v>8.2899999999999991</v>
      </c>
      <c r="S43" s="12">
        <v>7.11</v>
      </c>
      <c r="T43" s="12">
        <v>2.9</v>
      </c>
      <c r="U43" s="12">
        <v>25</v>
      </c>
      <c r="V43">
        <v>0.43</v>
      </c>
      <c r="W43" s="12">
        <v>22.5</v>
      </c>
      <c r="X43" s="12">
        <v>2.2799999999999998</v>
      </c>
    </row>
    <row r="44" spans="1:24" x14ac:dyDescent="0.45">
      <c r="A44" s="12" t="s">
        <v>106</v>
      </c>
      <c r="B44" s="12">
        <v>2018</v>
      </c>
      <c r="C44" s="12">
        <v>26.6</v>
      </c>
      <c r="D44" s="12">
        <v>81</v>
      </c>
      <c r="E44" s="12" t="s">
        <v>57</v>
      </c>
      <c r="F44" s="12" t="s">
        <v>57</v>
      </c>
      <c r="G44" s="12">
        <v>-2.39</v>
      </c>
      <c r="H44" s="12">
        <v>1.07</v>
      </c>
      <c r="I44" s="18">
        <v>0.19</v>
      </c>
      <c r="J44" s="18">
        <v>3.5</v>
      </c>
      <c r="K44" s="18">
        <v>0.53</v>
      </c>
      <c r="L44" s="18">
        <v>0.47</v>
      </c>
      <c r="M44" s="12">
        <v>2.2400000000000002</v>
      </c>
      <c r="N44" s="12">
        <v>0.12</v>
      </c>
      <c r="O44" s="12">
        <v>-0.26</v>
      </c>
      <c r="P44" s="12">
        <v>18.399999999999999</v>
      </c>
      <c r="Q44" s="12">
        <v>0.41</v>
      </c>
      <c r="R44" s="12">
        <v>5.74</v>
      </c>
      <c r="S44" s="12">
        <v>7.49</v>
      </c>
      <c r="T44" s="12">
        <v>5.2</v>
      </c>
      <c r="U44" s="12">
        <v>80</v>
      </c>
      <c r="V44">
        <v>0.45</v>
      </c>
      <c r="W44" s="12">
        <v>26</v>
      </c>
      <c r="X44" s="12">
        <v>2.2200000000000002</v>
      </c>
    </row>
    <row r="45" spans="1:24" x14ac:dyDescent="0.45">
      <c r="A45" s="12" t="s">
        <v>107</v>
      </c>
      <c r="B45" s="12">
        <v>2018</v>
      </c>
      <c r="C45" s="12">
        <v>4</v>
      </c>
      <c r="D45" s="12">
        <v>73</v>
      </c>
      <c r="E45" s="12" t="s">
        <v>57</v>
      </c>
      <c r="F45" s="12" t="s">
        <v>57</v>
      </c>
      <c r="G45" s="12">
        <v>-1.74</v>
      </c>
      <c r="H45" s="12">
        <v>0.86</v>
      </c>
      <c r="I45" s="18">
        <v>0.81</v>
      </c>
      <c r="J45" s="18">
        <v>10</v>
      </c>
      <c r="K45" s="18">
        <v>0.5</v>
      </c>
      <c r="L45" s="18">
        <v>0.25</v>
      </c>
      <c r="M45" s="12">
        <v>5.58</v>
      </c>
      <c r="N45" s="12">
        <v>0.13</v>
      </c>
      <c r="O45" s="12">
        <v>0.04</v>
      </c>
      <c r="P45" s="12">
        <v>16.8</v>
      </c>
      <c r="Q45" s="12">
        <v>0.32</v>
      </c>
      <c r="R45" s="12">
        <v>8.69</v>
      </c>
      <c r="S45" s="12">
        <v>8.16</v>
      </c>
      <c r="T45" s="12">
        <v>5</v>
      </c>
      <c r="U45" s="12">
        <v>30</v>
      </c>
      <c r="V45">
        <v>0.64</v>
      </c>
      <c r="W45" s="12">
        <v>31.4</v>
      </c>
      <c r="X45" s="12">
        <v>2.09</v>
      </c>
    </row>
    <row r="46" spans="1:24" x14ac:dyDescent="0.45">
      <c r="A46" s="12" t="s">
        <v>107</v>
      </c>
      <c r="B46" s="12">
        <v>2019</v>
      </c>
      <c r="C46" s="12">
        <v>4</v>
      </c>
      <c r="D46" s="12">
        <v>73</v>
      </c>
      <c r="E46" s="12" t="s">
        <v>57</v>
      </c>
      <c r="F46" s="12" t="s">
        <v>57</v>
      </c>
      <c r="G46" s="12">
        <v>-1.73</v>
      </c>
      <c r="H46" s="12">
        <v>0.27</v>
      </c>
      <c r="I46" s="18">
        <v>0.35</v>
      </c>
      <c r="J46" s="18">
        <v>21.31</v>
      </c>
      <c r="K46" s="18">
        <v>0.82</v>
      </c>
      <c r="L46" s="18">
        <v>2.5099999999999998</v>
      </c>
      <c r="M46" s="12">
        <v>5.2</v>
      </c>
      <c r="N46" s="12">
        <v>0.18</v>
      </c>
      <c r="O46" s="12">
        <v>-0.47</v>
      </c>
      <c r="P46" s="12">
        <v>17.399999999999999</v>
      </c>
      <c r="Q46" s="12">
        <v>0.24</v>
      </c>
      <c r="R46" s="12">
        <v>7.62</v>
      </c>
      <c r="S46" s="12">
        <v>7.69</v>
      </c>
      <c r="T46" s="12">
        <v>5</v>
      </c>
      <c r="U46" s="12">
        <v>30</v>
      </c>
      <c r="V46">
        <v>0.64</v>
      </c>
      <c r="W46" s="12">
        <v>33.299999999999997</v>
      </c>
      <c r="X46" s="12">
        <v>2.21</v>
      </c>
    </row>
    <row r="47" spans="1:24" x14ac:dyDescent="0.45">
      <c r="A47" s="12" t="s">
        <v>108</v>
      </c>
      <c r="B47" s="12">
        <v>2019</v>
      </c>
      <c r="C47" s="12">
        <v>21</v>
      </c>
      <c r="D47" s="12">
        <v>76</v>
      </c>
      <c r="E47" s="12" t="s">
        <v>57</v>
      </c>
      <c r="F47" s="12" t="s">
        <v>57</v>
      </c>
      <c r="G47" s="12">
        <v>-3.45</v>
      </c>
      <c r="H47" s="12">
        <v>-0.74</v>
      </c>
      <c r="I47" s="18">
        <v>1.22</v>
      </c>
      <c r="J47" s="18">
        <v>26.93</v>
      </c>
      <c r="K47" s="18">
        <v>0.19</v>
      </c>
      <c r="L47" s="18">
        <v>0.32</v>
      </c>
      <c r="M47" s="12">
        <v>8.7100000000000009</v>
      </c>
      <c r="N47" s="12">
        <v>0.04</v>
      </c>
      <c r="O47" s="12">
        <v>-0.73</v>
      </c>
      <c r="P47" s="12">
        <v>18.399999999999999</v>
      </c>
      <c r="Q47" s="12">
        <v>0.32</v>
      </c>
      <c r="R47" s="12">
        <v>8.19</v>
      </c>
      <c r="S47" s="12">
        <v>6.77</v>
      </c>
      <c r="T47" s="12">
        <v>4.0999999999999996</v>
      </c>
      <c r="U47" s="12">
        <v>30</v>
      </c>
      <c r="V47">
        <v>0.62</v>
      </c>
      <c r="W47" s="12">
        <v>38.5</v>
      </c>
      <c r="X47" s="12">
        <v>1.94</v>
      </c>
    </row>
    <row r="48" spans="1:24" x14ac:dyDescent="0.45">
      <c r="A48" s="12" t="s">
        <v>109</v>
      </c>
      <c r="B48" s="12">
        <v>2019</v>
      </c>
      <c r="C48" s="12">
        <v>19.100000000000001</v>
      </c>
      <c r="D48" s="12">
        <v>89</v>
      </c>
      <c r="E48" s="12" t="s">
        <v>57</v>
      </c>
      <c r="F48" s="12" t="s">
        <v>57</v>
      </c>
      <c r="G48" s="12">
        <v>-3.14</v>
      </c>
      <c r="H48" s="12">
        <v>-1.1599999999999999</v>
      </c>
      <c r="I48" s="18">
        <v>0.82</v>
      </c>
      <c r="J48" s="18">
        <v>110.96</v>
      </c>
      <c r="K48" s="18">
        <v>2.13</v>
      </c>
      <c r="L48" s="18">
        <v>0.17</v>
      </c>
      <c r="M48" s="12">
        <v>10.8</v>
      </c>
      <c r="N48" s="12">
        <v>0.06</v>
      </c>
      <c r="O48" s="12">
        <v>-0.09</v>
      </c>
      <c r="P48" s="12">
        <v>21</v>
      </c>
      <c r="Q48" s="12">
        <v>0.26</v>
      </c>
      <c r="R48" s="12">
        <v>6.96</v>
      </c>
      <c r="S48" s="12">
        <v>6.59</v>
      </c>
      <c r="T48" s="12">
        <v>4.8</v>
      </c>
      <c r="U48" s="12">
        <v>5</v>
      </c>
      <c r="V48">
        <v>0.37</v>
      </c>
      <c r="W48" s="12">
        <v>14.3</v>
      </c>
      <c r="X48" s="12">
        <v>2.23</v>
      </c>
    </row>
    <row r="49" spans="1:24" x14ac:dyDescent="0.45">
      <c r="A49" s="12" t="s">
        <v>110</v>
      </c>
      <c r="B49" s="12">
        <v>2018</v>
      </c>
      <c r="C49" s="12">
        <v>20.6</v>
      </c>
      <c r="D49" s="12">
        <v>34</v>
      </c>
      <c r="E49" s="12" t="s">
        <v>57</v>
      </c>
      <c r="F49" s="12" t="s">
        <v>57</v>
      </c>
      <c r="G49" s="12">
        <v>-3.63</v>
      </c>
      <c r="H49" s="12">
        <v>-0.22</v>
      </c>
      <c r="I49" s="18">
        <v>0.81</v>
      </c>
      <c r="J49" s="18">
        <v>8</v>
      </c>
      <c r="K49" s="18">
        <v>0.4</v>
      </c>
      <c r="L49" s="18">
        <v>0.45</v>
      </c>
      <c r="M49" s="12">
        <v>6.51</v>
      </c>
      <c r="N49" s="12">
        <v>0.02</v>
      </c>
      <c r="O49" s="12">
        <v>-0.59</v>
      </c>
      <c r="P49" s="12">
        <v>14.9</v>
      </c>
      <c r="Q49" s="12">
        <v>0.64</v>
      </c>
      <c r="R49" s="12">
        <v>9.2200000000000006</v>
      </c>
      <c r="S49" s="12">
        <v>8.23</v>
      </c>
      <c r="T49" s="12">
        <v>3.8</v>
      </c>
      <c r="U49" s="12">
        <v>65</v>
      </c>
      <c r="V49">
        <v>0.59</v>
      </c>
      <c r="W49" s="12">
        <v>39</v>
      </c>
      <c r="X49" s="12">
        <v>1.9</v>
      </c>
    </row>
    <row r="50" spans="1:24" x14ac:dyDescent="0.45">
      <c r="A50" s="12" t="s">
        <v>111</v>
      </c>
      <c r="B50" s="12">
        <v>2018</v>
      </c>
      <c r="C50" s="12">
        <v>13.6</v>
      </c>
      <c r="D50" s="12">
        <v>97</v>
      </c>
      <c r="E50" s="12" t="s">
        <v>58</v>
      </c>
      <c r="F50" s="12" t="s">
        <v>169</v>
      </c>
      <c r="G50" s="12">
        <v>-1.66</v>
      </c>
      <c r="H50" s="12">
        <v>0.77</v>
      </c>
      <c r="I50" s="18">
        <v>0.22</v>
      </c>
      <c r="J50" s="18">
        <v>20.5</v>
      </c>
      <c r="K50" s="18">
        <v>0.22</v>
      </c>
      <c r="L50" s="18">
        <v>0</v>
      </c>
      <c r="M50" s="12">
        <v>9.5399999999999991</v>
      </c>
      <c r="N50" s="12">
        <v>0.27</v>
      </c>
      <c r="O50" s="12">
        <v>-0.73</v>
      </c>
      <c r="P50" s="12">
        <v>17.600000000000001</v>
      </c>
      <c r="Q50" s="12">
        <v>0.46</v>
      </c>
      <c r="R50" s="12">
        <v>8.67</v>
      </c>
      <c r="S50" s="12">
        <v>8.0299999999999994</v>
      </c>
      <c r="T50" s="12">
        <v>3.2</v>
      </c>
      <c r="U50" s="12">
        <v>30</v>
      </c>
      <c r="V50">
        <v>0.4</v>
      </c>
      <c r="W50" s="12">
        <v>22.1</v>
      </c>
      <c r="X50" s="12">
        <v>1.86</v>
      </c>
    </row>
    <row r="51" spans="1:24" x14ac:dyDescent="0.45">
      <c r="A51" s="12" t="s">
        <v>112</v>
      </c>
      <c r="B51" s="12">
        <v>2019</v>
      </c>
      <c r="C51" s="12">
        <v>16.5</v>
      </c>
      <c r="D51" s="12">
        <v>91</v>
      </c>
      <c r="E51" s="12" t="s">
        <v>57</v>
      </c>
      <c r="F51" s="12" t="s">
        <v>57</v>
      </c>
      <c r="G51" s="12">
        <v>-2.37</v>
      </c>
      <c r="H51" s="12">
        <v>0.86</v>
      </c>
      <c r="I51" s="18">
        <v>0.75</v>
      </c>
      <c r="J51" s="18">
        <v>7.52</v>
      </c>
      <c r="K51" s="18">
        <v>1.34</v>
      </c>
      <c r="L51" s="18">
        <v>4.5</v>
      </c>
      <c r="M51" s="12">
        <v>8.64</v>
      </c>
      <c r="N51" s="12">
        <v>1.58</v>
      </c>
      <c r="O51" s="12">
        <v>-0.14000000000000001</v>
      </c>
      <c r="P51" s="12">
        <v>18.5</v>
      </c>
      <c r="Q51" s="12">
        <v>0.03</v>
      </c>
      <c r="R51" s="12">
        <v>5.0199999999999996</v>
      </c>
      <c r="S51" s="12">
        <v>7.6</v>
      </c>
      <c r="T51" s="12">
        <v>5.6</v>
      </c>
      <c r="U51" s="12">
        <v>25</v>
      </c>
      <c r="V51">
        <v>0.39</v>
      </c>
      <c r="W51" s="12">
        <v>10</v>
      </c>
      <c r="X51" s="12">
        <v>2.25</v>
      </c>
    </row>
    <row r="52" spans="1:24" x14ac:dyDescent="0.45">
      <c r="A52" s="12" t="s">
        <v>113</v>
      </c>
      <c r="B52" s="12">
        <v>2019</v>
      </c>
      <c r="C52" s="12">
        <v>7</v>
      </c>
      <c r="D52" s="12">
        <v>96</v>
      </c>
      <c r="E52" s="12" t="s">
        <v>57</v>
      </c>
      <c r="F52" s="12" t="s">
        <v>57</v>
      </c>
      <c r="G52" s="12">
        <v>-2.92</v>
      </c>
      <c r="H52" s="12">
        <v>-0.56000000000000005</v>
      </c>
      <c r="I52" s="18">
        <v>0.2</v>
      </c>
      <c r="J52" s="18">
        <v>18.190000000000001</v>
      </c>
      <c r="K52" s="18">
        <v>0.13</v>
      </c>
      <c r="L52" s="18">
        <v>0.27</v>
      </c>
      <c r="M52" s="12">
        <v>6.03</v>
      </c>
      <c r="N52" s="12">
        <v>0.05</v>
      </c>
      <c r="O52" s="12">
        <v>-0.56999999999999995</v>
      </c>
      <c r="P52" s="12">
        <v>16.399999999999999</v>
      </c>
      <c r="Q52" s="12">
        <v>0.34</v>
      </c>
      <c r="R52" s="12">
        <v>8.6300000000000008</v>
      </c>
      <c r="S52" s="12">
        <v>7.28</v>
      </c>
      <c r="T52" s="12">
        <v>4.8</v>
      </c>
      <c r="U52" s="12">
        <v>40</v>
      </c>
      <c r="V52">
        <v>0.55000000000000004</v>
      </c>
      <c r="W52" s="12">
        <v>32.700000000000003</v>
      </c>
      <c r="X52" s="12">
        <v>1.93</v>
      </c>
    </row>
    <row r="53" spans="1:24" x14ac:dyDescent="0.45">
      <c r="A53" s="12" t="s">
        <v>114</v>
      </c>
      <c r="B53" s="12">
        <v>2019</v>
      </c>
      <c r="C53" s="12">
        <v>4.4000000000000004</v>
      </c>
      <c r="D53" s="12">
        <v>100</v>
      </c>
      <c r="E53" s="12" t="s">
        <v>57</v>
      </c>
      <c r="F53" s="12" t="s">
        <v>57</v>
      </c>
      <c r="G53" s="12">
        <v>-2.5099999999999998</v>
      </c>
      <c r="H53" s="12">
        <v>0.1</v>
      </c>
      <c r="I53" s="18">
        <v>0.43</v>
      </c>
      <c r="J53" s="18">
        <v>13.17</v>
      </c>
      <c r="K53" s="18">
        <v>1.22</v>
      </c>
      <c r="L53" s="18">
        <v>1.54</v>
      </c>
      <c r="M53" s="12">
        <v>4.32</v>
      </c>
      <c r="N53" s="12">
        <v>0.2</v>
      </c>
      <c r="O53" s="12">
        <v>-0.53</v>
      </c>
      <c r="P53" s="12">
        <v>15.7</v>
      </c>
      <c r="Q53" s="12">
        <v>0.42</v>
      </c>
      <c r="R53" s="12">
        <v>9.7100000000000009</v>
      </c>
      <c r="S53" s="12">
        <v>7.33</v>
      </c>
      <c r="T53" s="12">
        <v>3.6</v>
      </c>
      <c r="U53" s="12">
        <v>50</v>
      </c>
      <c r="V53">
        <v>0.41</v>
      </c>
      <c r="W53" s="12">
        <v>24.7</v>
      </c>
      <c r="X53" s="12">
        <v>1.97</v>
      </c>
    </row>
    <row r="54" spans="1:24" x14ac:dyDescent="0.45">
      <c r="A54" s="12" t="s">
        <v>115</v>
      </c>
      <c r="B54" s="12">
        <v>2018</v>
      </c>
      <c r="C54" s="12">
        <v>21.1</v>
      </c>
      <c r="D54" s="12">
        <v>69</v>
      </c>
      <c r="E54" s="12" t="s">
        <v>57</v>
      </c>
      <c r="F54" s="12" t="s">
        <v>57</v>
      </c>
      <c r="G54" s="12">
        <v>-1.31</v>
      </c>
      <c r="H54" s="12">
        <v>1.1200000000000001</v>
      </c>
      <c r="I54" s="18">
        <v>0.23</v>
      </c>
      <c r="J54" s="18">
        <v>25</v>
      </c>
      <c r="K54" s="18">
        <v>0.7</v>
      </c>
      <c r="L54" s="18">
        <v>0.25</v>
      </c>
      <c r="M54" s="12">
        <v>9.9499999999999993</v>
      </c>
      <c r="N54" s="12">
        <v>0.18</v>
      </c>
      <c r="O54" s="12">
        <v>-0.27</v>
      </c>
      <c r="P54" s="12">
        <v>16.3</v>
      </c>
      <c r="Q54" s="12">
        <v>0.36</v>
      </c>
      <c r="R54" s="12">
        <v>7.56</v>
      </c>
      <c r="S54" s="12">
        <v>7.88</v>
      </c>
      <c r="T54" s="12">
        <v>3.3</v>
      </c>
      <c r="U54" s="12">
        <v>90</v>
      </c>
      <c r="V54">
        <v>0.44</v>
      </c>
      <c r="W54" s="12">
        <v>37.5</v>
      </c>
      <c r="X54" s="12">
        <v>2.16</v>
      </c>
    </row>
    <row r="55" spans="1:24" x14ac:dyDescent="0.45">
      <c r="A55" s="12" t="s">
        <v>116</v>
      </c>
      <c r="B55" s="12">
        <v>2018</v>
      </c>
      <c r="C55" s="12">
        <v>2.1</v>
      </c>
      <c r="D55" s="12">
        <v>24</v>
      </c>
      <c r="E55" s="12" t="s">
        <v>57</v>
      </c>
      <c r="F55" s="12" t="s">
        <v>57</v>
      </c>
      <c r="G55" s="12">
        <v>-1.7</v>
      </c>
      <c r="H55" s="12">
        <v>1.04</v>
      </c>
      <c r="I55" s="18">
        <v>0.02</v>
      </c>
      <c r="J55" s="18">
        <v>2.5</v>
      </c>
      <c r="K55" s="18">
        <v>0.2</v>
      </c>
      <c r="L55" s="18">
        <v>0.98</v>
      </c>
      <c r="M55" s="12">
        <v>11</v>
      </c>
      <c r="N55" s="12">
        <v>2.2999999999999998</v>
      </c>
      <c r="O55" s="12">
        <v>-0.02</v>
      </c>
      <c r="P55" s="12">
        <v>19.600000000000001</v>
      </c>
      <c r="Q55" s="12">
        <v>0.23</v>
      </c>
      <c r="R55" s="12">
        <v>8.32</v>
      </c>
      <c r="S55" s="12">
        <v>7.79</v>
      </c>
      <c r="T55" s="12">
        <v>3.5</v>
      </c>
      <c r="U55" s="12">
        <v>80</v>
      </c>
      <c r="V55">
        <v>0.47</v>
      </c>
      <c r="W55" s="12">
        <v>24.3</v>
      </c>
      <c r="X55" s="12">
        <v>2.27</v>
      </c>
    </row>
    <row r="56" spans="1:24" x14ac:dyDescent="0.45">
      <c r="A56" s="12" t="s">
        <v>117</v>
      </c>
      <c r="B56" s="12">
        <v>2018</v>
      </c>
      <c r="C56" s="12">
        <v>6.2</v>
      </c>
      <c r="D56" s="12">
        <v>22</v>
      </c>
      <c r="E56" s="12" t="s">
        <v>57</v>
      </c>
      <c r="F56" s="12" t="s">
        <v>57</v>
      </c>
      <c r="G56" s="12">
        <v>-1.65</v>
      </c>
      <c r="H56" s="12">
        <v>1.0900000000000001</v>
      </c>
      <c r="I56" s="18">
        <v>0.02</v>
      </c>
      <c r="J56" s="18">
        <v>1.64</v>
      </c>
      <c r="K56" s="18">
        <v>0.2</v>
      </c>
      <c r="L56" s="18">
        <v>2.5</v>
      </c>
      <c r="M56" s="12">
        <v>13.75</v>
      </c>
      <c r="N56" s="12">
        <v>1.49</v>
      </c>
      <c r="O56" s="12">
        <v>0.12</v>
      </c>
      <c r="P56" s="12">
        <v>19</v>
      </c>
      <c r="Q56" s="12">
        <v>0.23</v>
      </c>
      <c r="R56" s="12">
        <v>6.59</v>
      </c>
      <c r="S56" s="12">
        <v>7.42</v>
      </c>
      <c r="T56" s="12">
        <v>4.4000000000000004</v>
      </c>
      <c r="U56" s="12">
        <v>60</v>
      </c>
      <c r="V56">
        <v>0.39</v>
      </c>
      <c r="W56" s="12">
        <v>15.6</v>
      </c>
      <c r="X56" s="12">
        <v>2</v>
      </c>
    </row>
    <row r="57" spans="1:24" x14ac:dyDescent="0.45">
      <c r="A57" s="12" t="s">
        <v>117</v>
      </c>
      <c r="B57" s="12">
        <v>2019</v>
      </c>
      <c r="C57" s="12">
        <v>6.2</v>
      </c>
      <c r="D57" s="12">
        <v>22</v>
      </c>
      <c r="E57" s="12" t="s">
        <v>57</v>
      </c>
      <c r="F57" s="12" t="s">
        <v>57</v>
      </c>
      <c r="G57" s="12">
        <v>-2.74</v>
      </c>
      <c r="H57" s="12">
        <v>-0.14000000000000001</v>
      </c>
      <c r="I57" s="18">
        <v>0.16</v>
      </c>
      <c r="J57" s="18">
        <v>8.65</v>
      </c>
      <c r="K57" s="18">
        <v>0.13</v>
      </c>
      <c r="L57" s="18">
        <v>3.09</v>
      </c>
      <c r="M57" s="12">
        <v>5.2</v>
      </c>
      <c r="N57" s="12">
        <v>0.18</v>
      </c>
      <c r="O57" s="12">
        <v>-0.66</v>
      </c>
      <c r="P57" s="12">
        <v>18.899999999999999</v>
      </c>
      <c r="Q57" s="12">
        <v>0.12</v>
      </c>
      <c r="R57" s="12">
        <v>7.48</v>
      </c>
      <c r="S57" s="12">
        <v>7.64</v>
      </c>
      <c r="T57" s="12">
        <v>4.4000000000000004</v>
      </c>
      <c r="U57" s="12">
        <v>70</v>
      </c>
      <c r="V57">
        <v>0.39</v>
      </c>
      <c r="W57" s="12">
        <v>30.3</v>
      </c>
      <c r="X57" s="12">
        <v>1.86</v>
      </c>
    </row>
    <row r="58" spans="1:24" x14ac:dyDescent="0.45">
      <c r="A58" s="12" t="s">
        <v>118</v>
      </c>
      <c r="B58" s="12">
        <v>2018</v>
      </c>
      <c r="C58" s="12">
        <v>29.1</v>
      </c>
      <c r="D58" s="12">
        <v>48</v>
      </c>
      <c r="E58" s="12" t="s">
        <v>58</v>
      </c>
      <c r="F58" s="12" t="s">
        <v>57</v>
      </c>
      <c r="G58" s="12">
        <v>-1.67</v>
      </c>
      <c r="H58" s="12">
        <v>1.07</v>
      </c>
      <c r="I58" s="18">
        <v>0.02</v>
      </c>
      <c r="J58" s="18">
        <v>4.38</v>
      </c>
      <c r="K58" s="18">
        <v>0.18</v>
      </c>
      <c r="L58" s="18">
        <v>1.88</v>
      </c>
      <c r="M58" s="12">
        <v>5.86</v>
      </c>
      <c r="N58" s="12">
        <v>1.24</v>
      </c>
      <c r="O58" s="12">
        <v>-0.28000000000000003</v>
      </c>
      <c r="P58" s="12">
        <v>19.2</v>
      </c>
      <c r="Q58" s="12">
        <v>0.2</v>
      </c>
      <c r="R58" s="12">
        <v>7.51</v>
      </c>
      <c r="S58" s="12">
        <v>7.8</v>
      </c>
      <c r="T58" s="12">
        <v>5.0999999999999996</v>
      </c>
      <c r="U58" s="12">
        <v>40</v>
      </c>
      <c r="V58">
        <v>0.53</v>
      </c>
      <c r="W58" s="12">
        <v>19.2</v>
      </c>
      <c r="X58" s="12">
        <v>1.94</v>
      </c>
    </row>
    <row r="59" spans="1:24" x14ac:dyDescent="0.45">
      <c r="A59" s="12" t="s">
        <v>119</v>
      </c>
      <c r="B59" s="12">
        <v>2018</v>
      </c>
      <c r="C59" s="12">
        <v>28.6</v>
      </c>
      <c r="D59" s="12">
        <v>27</v>
      </c>
      <c r="E59" s="12" t="s">
        <v>57</v>
      </c>
      <c r="F59" s="12" t="s">
        <v>57</v>
      </c>
      <c r="G59" s="12">
        <v>-0.64</v>
      </c>
      <c r="H59" s="12">
        <v>1.78</v>
      </c>
      <c r="I59" s="18">
        <v>0.12</v>
      </c>
      <c r="J59" s="18">
        <v>5</v>
      </c>
      <c r="K59" s="18">
        <v>0.5</v>
      </c>
      <c r="L59" s="18">
        <v>1.37</v>
      </c>
      <c r="M59" s="12">
        <v>10.29</v>
      </c>
      <c r="N59" s="12">
        <v>1.66</v>
      </c>
      <c r="O59" s="12">
        <v>0.05</v>
      </c>
      <c r="P59" s="12">
        <v>19.399999999999999</v>
      </c>
      <c r="Q59" s="12">
        <v>0.31</v>
      </c>
      <c r="R59" s="12">
        <v>7.15</v>
      </c>
      <c r="S59" s="12">
        <v>7.79</v>
      </c>
      <c r="T59" s="12">
        <v>4.3</v>
      </c>
      <c r="U59" s="12">
        <v>0</v>
      </c>
      <c r="V59">
        <v>0.21</v>
      </c>
      <c r="W59" s="12">
        <v>14.8</v>
      </c>
      <c r="X59" s="12">
        <v>2.16</v>
      </c>
    </row>
    <row r="60" spans="1:24" x14ac:dyDescent="0.45">
      <c r="A60" s="12" t="s">
        <v>120</v>
      </c>
      <c r="B60" s="12">
        <v>2018</v>
      </c>
      <c r="C60" s="12">
        <v>9.6</v>
      </c>
      <c r="D60" s="12">
        <v>23</v>
      </c>
      <c r="E60" s="12" t="s">
        <v>57</v>
      </c>
      <c r="F60" s="12" t="s">
        <v>57</v>
      </c>
      <c r="G60" s="12">
        <v>-1.31</v>
      </c>
      <c r="H60" s="12">
        <v>1.1100000000000001</v>
      </c>
      <c r="I60" s="18">
        <v>0.08</v>
      </c>
      <c r="J60" s="18">
        <v>1.76</v>
      </c>
      <c r="K60" s="18">
        <v>1.5</v>
      </c>
      <c r="L60" s="18">
        <v>1.4</v>
      </c>
      <c r="M60" s="12">
        <v>4.3600000000000003</v>
      </c>
      <c r="N60" s="12">
        <v>0.46</v>
      </c>
      <c r="O60" s="12">
        <v>0.48</v>
      </c>
      <c r="P60" s="12">
        <v>21.3</v>
      </c>
      <c r="Q60" s="12">
        <v>0.24</v>
      </c>
      <c r="R60" s="12">
        <v>7.43</v>
      </c>
      <c r="S60" s="12">
        <v>7.89</v>
      </c>
      <c r="T60" s="12">
        <v>4.75</v>
      </c>
      <c r="U60" s="12">
        <v>100</v>
      </c>
      <c r="V60">
        <v>0.49</v>
      </c>
      <c r="W60" s="12">
        <v>26.7</v>
      </c>
      <c r="X60" s="12">
        <v>1.79</v>
      </c>
    </row>
    <row r="61" spans="1:24" x14ac:dyDescent="0.45">
      <c r="A61" s="12" t="s">
        <v>121</v>
      </c>
      <c r="B61" s="12">
        <v>2019</v>
      </c>
      <c r="C61" s="12">
        <v>16.2</v>
      </c>
      <c r="D61" s="12">
        <v>54</v>
      </c>
      <c r="E61" s="12" t="s">
        <v>57</v>
      </c>
      <c r="F61" s="12" t="s">
        <v>57</v>
      </c>
      <c r="G61" s="12">
        <v>-0.22</v>
      </c>
      <c r="H61" s="12">
        <v>2.2000000000000002</v>
      </c>
      <c r="I61" s="18">
        <v>1.54</v>
      </c>
      <c r="J61" s="18">
        <v>36.96</v>
      </c>
      <c r="K61" s="18">
        <v>1.67</v>
      </c>
      <c r="L61" s="18">
        <v>1.4</v>
      </c>
      <c r="M61" s="12">
        <v>19.78</v>
      </c>
      <c r="N61" s="12">
        <v>1.85</v>
      </c>
      <c r="O61" s="12">
        <v>-0.18</v>
      </c>
      <c r="P61" s="12">
        <v>20.5</v>
      </c>
      <c r="Q61" s="12">
        <v>0.28000000000000003</v>
      </c>
      <c r="R61" s="12">
        <v>3.82</v>
      </c>
      <c r="S61" s="12">
        <v>7.71</v>
      </c>
      <c r="T61" s="12">
        <v>5.7</v>
      </c>
      <c r="U61" s="12">
        <v>30</v>
      </c>
      <c r="V61">
        <v>0.09</v>
      </c>
      <c r="W61" s="12">
        <v>1.6</v>
      </c>
      <c r="X61" s="12">
        <v>2.4300000000000002</v>
      </c>
    </row>
    <row r="62" spans="1:24" x14ac:dyDescent="0.45">
      <c r="A62" s="12" t="s">
        <v>122</v>
      </c>
      <c r="B62" s="12">
        <v>2018</v>
      </c>
      <c r="C62" s="12">
        <v>18.8</v>
      </c>
      <c r="D62" s="12">
        <v>27</v>
      </c>
      <c r="E62" s="12" t="s">
        <v>57</v>
      </c>
      <c r="F62" s="12" t="s">
        <v>57</v>
      </c>
      <c r="G62" s="12">
        <v>-1.68</v>
      </c>
      <c r="H62" s="12">
        <v>1.05</v>
      </c>
      <c r="I62" s="18">
        <v>0.02</v>
      </c>
      <c r="J62" s="18">
        <v>9.48</v>
      </c>
      <c r="K62" s="18">
        <v>0.1</v>
      </c>
      <c r="L62" s="18">
        <v>1.1599999999999999</v>
      </c>
      <c r="M62" s="12">
        <v>5.01</v>
      </c>
      <c r="N62" s="12">
        <v>0.59</v>
      </c>
      <c r="O62" s="12">
        <v>-0.08</v>
      </c>
      <c r="P62" s="12">
        <v>18.5</v>
      </c>
      <c r="Q62" s="12">
        <v>0.3</v>
      </c>
      <c r="R62" s="12">
        <v>7.97</v>
      </c>
      <c r="S62" s="12">
        <v>7.58</v>
      </c>
      <c r="T62" s="12">
        <v>4.3499999999999996</v>
      </c>
      <c r="U62" s="12">
        <v>60</v>
      </c>
      <c r="V62">
        <v>0.42</v>
      </c>
      <c r="W62" s="12">
        <v>29.4</v>
      </c>
      <c r="X62" s="12">
        <v>1.93</v>
      </c>
    </row>
    <row r="63" spans="1:24" x14ac:dyDescent="0.45">
      <c r="A63" s="12" t="s">
        <v>123</v>
      </c>
      <c r="B63" s="12">
        <v>2018</v>
      </c>
      <c r="C63" s="12">
        <v>7.3</v>
      </c>
      <c r="D63" s="12">
        <v>31</v>
      </c>
      <c r="E63" s="12" t="s">
        <v>58</v>
      </c>
      <c r="F63" s="12" t="s">
        <v>57</v>
      </c>
      <c r="G63" s="12">
        <v>-1.36</v>
      </c>
      <c r="H63" s="12">
        <v>1.37</v>
      </c>
      <c r="I63" s="18">
        <v>0.04</v>
      </c>
      <c r="J63" s="18">
        <v>3.1</v>
      </c>
      <c r="K63" s="18">
        <v>0.24</v>
      </c>
      <c r="L63" s="18">
        <v>1.24</v>
      </c>
      <c r="M63" s="12">
        <v>7.95</v>
      </c>
      <c r="N63" s="12">
        <v>2.2599999999999998</v>
      </c>
      <c r="O63" s="12">
        <v>-0.25</v>
      </c>
      <c r="P63" s="12">
        <v>19.600000000000001</v>
      </c>
      <c r="Q63" s="12">
        <v>0.38</v>
      </c>
      <c r="R63" s="12">
        <v>8.09</v>
      </c>
      <c r="S63" s="12">
        <v>7.85</v>
      </c>
      <c r="T63" s="12">
        <v>4.8499999999999996</v>
      </c>
      <c r="U63" s="12">
        <v>20</v>
      </c>
      <c r="V63">
        <v>0.16</v>
      </c>
      <c r="W63" s="12">
        <v>0</v>
      </c>
      <c r="X63" s="12">
        <v>2.0099999999999998</v>
      </c>
    </row>
    <row r="64" spans="1:24" x14ac:dyDescent="0.45">
      <c r="A64" s="12" t="s">
        <v>123</v>
      </c>
      <c r="B64" s="12">
        <v>2019</v>
      </c>
      <c r="C64" s="12">
        <v>7.3</v>
      </c>
      <c r="D64" s="12">
        <v>31</v>
      </c>
      <c r="E64" s="12" t="s">
        <v>58</v>
      </c>
      <c r="F64" s="12" t="s">
        <v>57</v>
      </c>
      <c r="G64" s="12">
        <v>-2.15</v>
      </c>
      <c r="H64" s="12">
        <v>0.65</v>
      </c>
      <c r="I64" s="18">
        <v>0.26</v>
      </c>
      <c r="J64" s="18">
        <v>6.05</v>
      </c>
      <c r="K64" s="18">
        <v>0.23</v>
      </c>
      <c r="L64" s="18">
        <v>2.35</v>
      </c>
      <c r="M64" s="12">
        <v>5.2</v>
      </c>
      <c r="N64" s="12">
        <v>0.18</v>
      </c>
      <c r="O64" s="12">
        <v>-0.82</v>
      </c>
      <c r="P64" s="12">
        <v>18.100000000000001</v>
      </c>
      <c r="Q64" s="12">
        <v>0.25</v>
      </c>
      <c r="R64" s="12">
        <v>8.24</v>
      </c>
      <c r="S64" s="12">
        <v>7.82</v>
      </c>
      <c r="T64" s="12">
        <v>4.8499999999999996</v>
      </c>
      <c r="U64" s="12">
        <v>10</v>
      </c>
      <c r="V64">
        <v>0.16</v>
      </c>
      <c r="W64" s="12">
        <v>11.3</v>
      </c>
      <c r="X64" s="12">
        <v>1.98</v>
      </c>
    </row>
    <row r="65" spans="1:24" x14ac:dyDescent="0.45">
      <c r="A65" s="12" t="s">
        <v>124</v>
      </c>
      <c r="B65" s="12">
        <v>2018</v>
      </c>
      <c r="C65" s="12">
        <v>5.7</v>
      </c>
      <c r="D65" s="12">
        <v>35</v>
      </c>
      <c r="E65" s="12" t="s">
        <v>57</v>
      </c>
      <c r="F65" s="12" t="s">
        <v>57</v>
      </c>
      <c r="G65" s="12">
        <v>-1.67</v>
      </c>
      <c r="H65" s="12">
        <v>1.06</v>
      </c>
      <c r="I65" s="18">
        <v>0.02</v>
      </c>
      <c r="J65" s="18">
        <v>2.08</v>
      </c>
      <c r="K65" s="18">
        <v>0.14000000000000001</v>
      </c>
      <c r="L65" s="18">
        <v>0.9</v>
      </c>
      <c r="M65" s="12">
        <v>9.82</v>
      </c>
      <c r="N65" s="12">
        <v>1.65</v>
      </c>
      <c r="O65" s="12">
        <v>-0.09</v>
      </c>
      <c r="P65" s="12">
        <v>19.399999999999999</v>
      </c>
      <c r="Q65" s="12">
        <v>0.28999999999999998</v>
      </c>
      <c r="R65" s="12">
        <v>7.68</v>
      </c>
      <c r="S65" s="12">
        <v>8.02</v>
      </c>
      <c r="T65" s="12">
        <v>5.1999999999999993</v>
      </c>
      <c r="U65" s="12">
        <v>20</v>
      </c>
      <c r="V65">
        <v>0.27</v>
      </c>
      <c r="W65" s="12">
        <v>8.6</v>
      </c>
      <c r="X65" s="12">
        <v>2.2400000000000002</v>
      </c>
    </row>
    <row r="66" spans="1:24" x14ac:dyDescent="0.45">
      <c r="A66" s="12" t="s">
        <v>124</v>
      </c>
      <c r="B66" s="12">
        <v>2019</v>
      </c>
      <c r="C66" s="12">
        <v>5.7</v>
      </c>
      <c r="D66" s="12">
        <v>35</v>
      </c>
      <c r="E66" s="12" t="s">
        <v>57</v>
      </c>
      <c r="F66" s="12" t="s">
        <v>57</v>
      </c>
      <c r="G66" s="12">
        <v>-2.06</v>
      </c>
      <c r="H66" s="12">
        <v>0.37</v>
      </c>
      <c r="I66" s="18">
        <v>0.2</v>
      </c>
      <c r="J66" s="18">
        <v>6.33</v>
      </c>
      <c r="K66" s="18">
        <v>0.79</v>
      </c>
      <c r="L66" s="18">
        <v>0.28999999999999998</v>
      </c>
      <c r="M66" s="12">
        <v>5.2</v>
      </c>
      <c r="N66" s="12">
        <v>0.18</v>
      </c>
      <c r="O66" s="12">
        <v>-0.32</v>
      </c>
      <c r="P66" s="12">
        <v>17.8</v>
      </c>
      <c r="Q66" s="12">
        <v>0.2</v>
      </c>
      <c r="R66" s="12">
        <v>8.0299999999999994</v>
      </c>
      <c r="S66" s="12">
        <v>7.86</v>
      </c>
      <c r="T66" s="12">
        <v>5.1999999999999993</v>
      </c>
      <c r="U66" s="12">
        <v>10</v>
      </c>
      <c r="V66">
        <v>0.27</v>
      </c>
      <c r="W66" s="12">
        <v>12.7</v>
      </c>
      <c r="X66" s="12">
        <v>1.91</v>
      </c>
    </row>
    <row r="67" spans="1:24" x14ac:dyDescent="0.45">
      <c r="A67" s="12" t="s">
        <v>125</v>
      </c>
      <c r="B67" s="12">
        <v>2019</v>
      </c>
      <c r="C67" s="12">
        <v>9.6</v>
      </c>
      <c r="D67" s="12">
        <v>82</v>
      </c>
      <c r="E67" s="12" t="s">
        <v>57</v>
      </c>
      <c r="F67" s="12" t="s">
        <v>57</v>
      </c>
      <c r="G67" s="12">
        <v>-3.13</v>
      </c>
      <c r="H67" s="12">
        <v>-0.41</v>
      </c>
      <c r="I67" s="18">
        <v>0.35</v>
      </c>
      <c r="J67" s="18">
        <v>25.09</v>
      </c>
      <c r="K67" s="18">
        <v>0.95</v>
      </c>
      <c r="L67" s="18">
        <v>0.7</v>
      </c>
      <c r="M67" s="12">
        <v>8.75</v>
      </c>
      <c r="N67" s="12">
        <v>0.2</v>
      </c>
      <c r="O67" s="12">
        <v>-0.82</v>
      </c>
      <c r="P67" s="12">
        <v>17.3</v>
      </c>
      <c r="Q67" s="12">
        <v>0.24</v>
      </c>
      <c r="R67" s="12">
        <v>7.82</v>
      </c>
      <c r="S67" s="12">
        <v>7.65</v>
      </c>
      <c r="T67" s="12">
        <v>4.4000000000000004</v>
      </c>
      <c r="U67" s="12">
        <v>70</v>
      </c>
      <c r="V67">
        <v>0.53</v>
      </c>
      <c r="W67" s="12">
        <v>24.6</v>
      </c>
      <c r="X67" s="12">
        <v>1.91</v>
      </c>
    </row>
    <row r="68" spans="1:24" x14ac:dyDescent="0.45">
      <c r="A68" s="12" t="s">
        <v>126</v>
      </c>
      <c r="B68" s="12">
        <v>2018</v>
      </c>
      <c r="C68" s="12">
        <v>19.600000000000001</v>
      </c>
      <c r="D68" s="12">
        <v>94</v>
      </c>
      <c r="E68" s="12" t="s">
        <v>57</v>
      </c>
      <c r="F68" s="12" t="s">
        <v>57</v>
      </c>
      <c r="G68" s="12">
        <v>-2.69</v>
      </c>
      <c r="H68" s="12">
        <v>0</v>
      </c>
      <c r="I68" s="18">
        <v>0.15</v>
      </c>
      <c r="J68" s="18">
        <v>16.75</v>
      </c>
      <c r="K68" s="18">
        <v>0</v>
      </c>
      <c r="L68" s="18">
        <v>0.11</v>
      </c>
      <c r="M68" s="12">
        <v>7.37</v>
      </c>
      <c r="N68" s="12">
        <v>0.01</v>
      </c>
      <c r="O68" s="12">
        <v>-1.21</v>
      </c>
      <c r="P68" s="12">
        <v>18</v>
      </c>
      <c r="Q68" s="12">
        <v>0.1</v>
      </c>
      <c r="R68" s="12">
        <v>5.81</v>
      </c>
      <c r="S68" s="12">
        <v>7.93</v>
      </c>
      <c r="T68" s="12">
        <v>4.3</v>
      </c>
      <c r="U68" s="12">
        <v>60</v>
      </c>
      <c r="V68">
        <v>0.42</v>
      </c>
      <c r="W68" s="12">
        <v>18.8</v>
      </c>
      <c r="X68" s="12">
        <v>2.25</v>
      </c>
    </row>
    <row r="69" spans="1:24" x14ac:dyDescent="0.45">
      <c r="A69" s="12" t="s">
        <v>127</v>
      </c>
      <c r="B69" s="12">
        <v>2018</v>
      </c>
      <c r="C69" s="12">
        <v>12.9</v>
      </c>
      <c r="D69" s="12">
        <v>98</v>
      </c>
      <c r="E69" s="12" t="s">
        <v>58</v>
      </c>
      <c r="F69" s="12" t="s">
        <v>57</v>
      </c>
      <c r="G69" s="12">
        <v>-2.19</v>
      </c>
      <c r="H69" s="12">
        <v>0.24</v>
      </c>
      <c r="I69" s="18">
        <v>0.15</v>
      </c>
      <c r="J69" s="18">
        <v>18</v>
      </c>
      <c r="K69" s="18">
        <v>0</v>
      </c>
      <c r="L69" s="18">
        <v>0.24</v>
      </c>
      <c r="M69" s="12">
        <v>8.65</v>
      </c>
      <c r="N69" s="12">
        <v>0.45</v>
      </c>
      <c r="O69" s="12">
        <v>-0.27</v>
      </c>
      <c r="P69" s="12">
        <v>17.899999999999999</v>
      </c>
      <c r="Q69" s="12">
        <v>0.28000000000000003</v>
      </c>
      <c r="R69" s="12">
        <v>6.43</v>
      </c>
      <c r="S69" s="12">
        <v>8.0299999999999994</v>
      </c>
      <c r="T69" s="12">
        <v>3.7</v>
      </c>
      <c r="U69" s="12">
        <v>80</v>
      </c>
      <c r="V69">
        <v>0.41</v>
      </c>
      <c r="W69" s="12">
        <v>31.9</v>
      </c>
      <c r="X69" s="12">
        <v>2.0099999999999998</v>
      </c>
    </row>
    <row r="70" spans="1:24" x14ac:dyDescent="0.45">
      <c r="A70" s="12" t="s">
        <v>127</v>
      </c>
      <c r="B70" s="12">
        <v>2019</v>
      </c>
      <c r="C70" s="12">
        <v>12.9</v>
      </c>
      <c r="D70" s="12">
        <v>98</v>
      </c>
      <c r="E70" s="12" t="s">
        <v>58</v>
      </c>
      <c r="F70" s="12" t="s">
        <v>57</v>
      </c>
      <c r="G70" s="12">
        <v>-1.47</v>
      </c>
      <c r="H70" s="12">
        <v>0.95</v>
      </c>
      <c r="I70" s="18">
        <v>0.59</v>
      </c>
      <c r="J70" s="18">
        <v>29.7</v>
      </c>
      <c r="K70" s="18">
        <v>1.27</v>
      </c>
      <c r="L70" s="18">
        <v>4.38</v>
      </c>
      <c r="M70" s="12">
        <v>5.2</v>
      </c>
      <c r="N70" s="12">
        <v>0.18</v>
      </c>
      <c r="O70" s="12">
        <v>-0.38</v>
      </c>
      <c r="P70" s="12">
        <v>17.3</v>
      </c>
      <c r="Q70" s="12">
        <v>0.31</v>
      </c>
      <c r="R70" s="12">
        <v>6.7</v>
      </c>
      <c r="S70" s="12">
        <v>8.01</v>
      </c>
      <c r="T70" s="12">
        <v>3.7</v>
      </c>
      <c r="U70" s="12">
        <v>90</v>
      </c>
      <c r="V70">
        <v>0.41</v>
      </c>
      <c r="W70" s="12">
        <v>21.3</v>
      </c>
      <c r="X70" s="12">
        <v>1.97</v>
      </c>
    </row>
    <row r="71" spans="1:24" x14ac:dyDescent="0.45">
      <c r="A71" s="12" t="s">
        <v>128</v>
      </c>
      <c r="B71" s="12">
        <v>2018</v>
      </c>
      <c r="C71" s="12">
        <v>17.2</v>
      </c>
      <c r="D71" s="12">
        <v>70</v>
      </c>
      <c r="E71" s="12" t="s">
        <v>57</v>
      </c>
      <c r="F71" s="12" t="s">
        <v>57</v>
      </c>
      <c r="G71" s="12">
        <v>-2.5499999999999998</v>
      </c>
      <c r="H71" s="12">
        <v>-0.04</v>
      </c>
      <c r="I71" s="18">
        <v>0.14000000000000001</v>
      </c>
      <c r="J71" s="18">
        <v>9</v>
      </c>
      <c r="K71" s="18">
        <v>0</v>
      </c>
      <c r="L71" s="18">
        <v>0.24</v>
      </c>
      <c r="M71" s="12">
        <v>2.2400000000000002</v>
      </c>
      <c r="N71" s="12">
        <v>0.06</v>
      </c>
      <c r="O71" s="12">
        <v>-0.69</v>
      </c>
      <c r="P71" s="12">
        <v>18.8</v>
      </c>
      <c r="Q71" s="12">
        <v>0.06</v>
      </c>
      <c r="R71" s="12">
        <v>6.03</v>
      </c>
      <c r="S71" s="12">
        <v>8.2899999999999991</v>
      </c>
      <c r="T71" s="12">
        <v>4</v>
      </c>
      <c r="U71" s="12">
        <v>85</v>
      </c>
      <c r="V71">
        <v>0.75</v>
      </c>
      <c r="W71" s="12">
        <v>36.5</v>
      </c>
      <c r="X71" s="12">
        <v>1.74</v>
      </c>
    </row>
    <row r="72" spans="1:24" x14ac:dyDescent="0.45">
      <c r="A72" s="12" t="s">
        <v>129</v>
      </c>
      <c r="B72" s="12">
        <v>2019</v>
      </c>
      <c r="C72" s="12">
        <v>6.9</v>
      </c>
      <c r="D72" s="12">
        <v>91</v>
      </c>
      <c r="E72" s="12" t="s">
        <v>57</v>
      </c>
      <c r="F72" s="12" t="s">
        <v>57</v>
      </c>
      <c r="G72" s="12">
        <v>-3.19</v>
      </c>
      <c r="H72" s="12">
        <v>-0.2</v>
      </c>
      <c r="I72" s="18">
        <v>0.14000000000000001</v>
      </c>
      <c r="J72" s="18">
        <v>25.02</v>
      </c>
      <c r="K72" s="18">
        <v>0.06</v>
      </c>
      <c r="L72" s="18">
        <v>4.9000000000000004</v>
      </c>
      <c r="M72" s="12">
        <v>6.64</v>
      </c>
      <c r="N72" s="12">
        <v>0.05</v>
      </c>
      <c r="O72" s="12">
        <v>-0.37</v>
      </c>
      <c r="P72" s="12">
        <v>16.399999999999999</v>
      </c>
      <c r="Q72" s="12">
        <v>0.16</v>
      </c>
      <c r="R72" s="12">
        <v>7.25</v>
      </c>
      <c r="S72" s="12">
        <v>7.81</v>
      </c>
      <c r="T72" s="12">
        <v>3.8</v>
      </c>
      <c r="U72" s="12">
        <v>85</v>
      </c>
      <c r="V72">
        <v>0.65</v>
      </c>
      <c r="W72" s="12">
        <v>25.7</v>
      </c>
      <c r="X72" s="12">
        <v>1.99</v>
      </c>
    </row>
    <row r="73" spans="1:24" x14ac:dyDescent="0.45">
      <c r="A73" s="12" t="s">
        <v>130</v>
      </c>
      <c r="B73" s="12">
        <v>2019</v>
      </c>
      <c r="C73" s="12">
        <v>9.8000000000000007</v>
      </c>
      <c r="D73" s="12">
        <v>100</v>
      </c>
      <c r="E73" s="12" t="s">
        <v>57</v>
      </c>
      <c r="F73" s="12" t="s">
        <v>57</v>
      </c>
      <c r="G73" s="12">
        <v>-3.03</v>
      </c>
      <c r="H73" s="12">
        <v>-0.04</v>
      </c>
      <c r="I73" s="18">
        <v>0.17</v>
      </c>
      <c r="J73" s="18">
        <v>28.33</v>
      </c>
      <c r="K73" s="18">
        <v>0.78</v>
      </c>
      <c r="L73" s="18">
        <v>0.41</v>
      </c>
      <c r="M73" s="12">
        <v>8.32</v>
      </c>
      <c r="N73" s="12">
        <v>0.13</v>
      </c>
      <c r="O73" s="12">
        <v>-0.83</v>
      </c>
      <c r="P73" s="12">
        <v>19.399999999999999</v>
      </c>
      <c r="Q73" s="12">
        <v>0.32</v>
      </c>
      <c r="R73" s="12">
        <v>7.28</v>
      </c>
      <c r="S73" s="12">
        <v>8.1300000000000008</v>
      </c>
      <c r="T73" s="12">
        <v>3.2</v>
      </c>
      <c r="U73" s="12">
        <v>80</v>
      </c>
      <c r="V73">
        <v>0.57999999999999996</v>
      </c>
      <c r="W73" s="12">
        <v>38.799999999999997</v>
      </c>
      <c r="X73" s="12">
        <v>1.78</v>
      </c>
    </row>
    <row r="74" spans="1:24" x14ac:dyDescent="0.45">
      <c r="A74" s="12" t="s">
        <v>131</v>
      </c>
      <c r="B74" s="12">
        <v>2018</v>
      </c>
      <c r="C74" s="12">
        <v>16.8</v>
      </c>
      <c r="D74" s="12">
        <v>89</v>
      </c>
      <c r="E74" s="12" t="s">
        <v>57</v>
      </c>
      <c r="F74" s="12" t="s">
        <v>57</v>
      </c>
      <c r="G74" s="12">
        <v>-1.62</v>
      </c>
      <c r="H74" s="12">
        <v>1.1100000000000001</v>
      </c>
      <c r="I74" s="18">
        <v>0.7</v>
      </c>
      <c r="J74" s="18">
        <v>45</v>
      </c>
      <c r="K74" s="18">
        <v>0.2</v>
      </c>
      <c r="L74" s="18">
        <v>0.75</v>
      </c>
      <c r="M74" s="12">
        <v>4.9400000000000004</v>
      </c>
      <c r="N74" s="12">
        <v>0.32</v>
      </c>
      <c r="O74" s="12">
        <v>-0.91</v>
      </c>
      <c r="P74" s="12">
        <v>19.100000000000001</v>
      </c>
      <c r="Q74" s="12">
        <v>0.14000000000000001</v>
      </c>
      <c r="R74" s="12">
        <v>3.07</v>
      </c>
      <c r="S74" s="12">
        <v>7.8</v>
      </c>
      <c r="T74" s="12">
        <v>1.4</v>
      </c>
      <c r="U74" s="12">
        <v>50</v>
      </c>
      <c r="V74">
        <v>0.64</v>
      </c>
      <c r="W74" s="12">
        <v>17.899999999999999</v>
      </c>
      <c r="X74" s="12">
        <v>2.31</v>
      </c>
    </row>
    <row r="75" spans="1:24" x14ac:dyDescent="0.45">
      <c r="A75" s="12" t="s">
        <v>132</v>
      </c>
      <c r="B75" s="12">
        <v>2018</v>
      </c>
      <c r="C75" s="12">
        <v>15.4</v>
      </c>
      <c r="D75" s="12">
        <v>90</v>
      </c>
      <c r="E75" s="12" t="s">
        <v>57</v>
      </c>
      <c r="F75" s="12" t="s">
        <v>57</v>
      </c>
      <c r="G75" s="12">
        <v>-1.53</v>
      </c>
      <c r="H75" s="12">
        <v>0.9</v>
      </c>
      <c r="I75" s="18">
        <v>0.94</v>
      </c>
      <c r="J75" s="18">
        <v>16.75</v>
      </c>
      <c r="K75" s="18">
        <v>0.92</v>
      </c>
      <c r="L75" s="18">
        <v>2.85</v>
      </c>
      <c r="M75" s="12">
        <v>4.9400000000000004</v>
      </c>
      <c r="N75" s="12">
        <v>1.69</v>
      </c>
      <c r="O75" s="12">
        <v>0.05</v>
      </c>
      <c r="P75" s="12">
        <v>24.6</v>
      </c>
      <c r="Q75" s="12">
        <v>0.12</v>
      </c>
      <c r="R75" s="12">
        <v>8.52</v>
      </c>
      <c r="S75" s="12">
        <v>8.1300000000000008</v>
      </c>
      <c r="T75" s="12">
        <v>4.5</v>
      </c>
      <c r="U75" s="12">
        <v>80</v>
      </c>
      <c r="V75">
        <v>0.2</v>
      </c>
      <c r="W75" s="12">
        <v>10.9</v>
      </c>
      <c r="X75" s="12">
        <v>2.3199999999999998</v>
      </c>
    </row>
    <row r="76" spans="1:24" x14ac:dyDescent="0.45">
      <c r="A76" s="12" t="s">
        <v>133</v>
      </c>
      <c r="B76" s="12">
        <v>2018</v>
      </c>
      <c r="C76" s="12">
        <v>21.2</v>
      </c>
      <c r="D76" s="12">
        <v>59</v>
      </c>
      <c r="E76" s="12" t="s">
        <v>57</v>
      </c>
      <c r="F76" s="12" t="s">
        <v>57</v>
      </c>
      <c r="G76" s="12">
        <v>-2.1</v>
      </c>
      <c r="H76" s="12">
        <v>0.56999999999999995</v>
      </c>
      <c r="I76" s="18">
        <v>0.2</v>
      </c>
      <c r="J76" s="18">
        <v>25</v>
      </c>
      <c r="K76" s="18">
        <v>0.3</v>
      </c>
      <c r="L76" s="18">
        <v>1.75</v>
      </c>
      <c r="M76" s="12">
        <v>10.23</v>
      </c>
      <c r="N76" s="12">
        <v>1.31</v>
      </c>
      <c r="O76" s="12">
        <v>-0.02</v>
      </c>
      <c r="P76" s="12">
        <v>16.2</v>
      </c>
      <c r="Q76" s="12">
        <v>0.41</v>
      </c>
      <c r="R76" s="12">
        <v>8.31</v>
      </c>
      <c r="S76" s="12">
        <v>7.82</v>
      </c>
      <c r="T76" s="12">
        <v>3.5</v>
      </c>
      <c r="U76" s="12">
        <v>50</v>
      </c>
      <c r="V76">
        <v>0.48</v>
      </c>
      <c r="W76" s="12">
        <v>41.2</v>
      </c>
      <c r="X76" s="12">
        <v>2.0099999999999998</v>
      </c>
    </row>
    <row r="77" spans="1:24" x14ac:dyDescent="0.45">
      <c r="A77" s="12" t="s">
        <v>134</v>
      </c>
      <c r="B77" s="12">
        <v>2019</v>
      </c>
      <c r="C77" s="12">
        <v>14.6</v>
      </c>
      <c r="D77" s="12">
        <v>87</v>
      </c>
      <c r="E77" s="12" t="s">
        <v>57</v>
      </c>
      <c r="F77" s="12" t="s">
        <v>57</v>
      </c>
      <c r="G77" s="12">
        <v>-2.33</v>
      </c>
      <c r="H77" s="12">
        <v>0.09</v>
      </c>
      <c r="I77" s="18">
        <v>1.17</v>
      </c>
      <c r="J77" s="18">
        <v>109.17</v>
      </c>
      <c r="K77" s="18">
        <v>1.47</v>
      </c>
      <c r="L77" s="18">
        <v>3.45</v>
      </c>
      <c r="M77" s="12">
        <v>40.14</v>
      </c>
      <c r="N77" s="12">
        <v>0.23</v>
      </c>
      <c r="O77" s="12">
        <v>-0.57999999999999996</v>
      </c>
      <c r="P77" s="12">
        <v>18.100000000000001</v>
      </c>
      <c r="Q77" s="12">
        <v>0.28999999999999998</v>
      </c>
      <c r="R77" s="12">
        <v>8.82</v>
      </c>
      <c r="S77" s="12">
        <v>7.67</v>
      </c>
      <c r="T77" s="12">
        <v>3.9</v>
      </c>
      <c r="U77" s="12">
        <v>40</v>
      </c>
      <c r="V77">
        <v>0.67</v>
      </c>
      <c r="W77" s="12">
        <v>42.6</v>
      </c>
      <c r="X77" s="12">
        <v>1.74</v>
      </c>
    </row>
    <row r="78" spans="1:24" x14ac:dyDescent="0.45">
      <c r="A78" s="12" t="s">
        <v>135</v>
      </c>
      <c r="B78" s="12">
        <v>2018</v>
      </c>
      <c r="C78" s="12">
        <v>29.9</v>
      </c>
      <c r="D78" s="12">
        <v>59</v>
      </c>
      <c r="E78" s="12" t="s">
        <v>57</v>
      </c>
      <c r="F78" s="12" t="s">
        <v>57</v>
      </c>
      <c r="G78" s="12">
        <v>-1.04</v>
      </c>
      <c r="H78" s="12">
        <v>1.38</v>
      </c>
      <c r="I78" s="18">
        <v>1</v>
      </c>
      <c r="J78" s="18">
        <v>69.5</v>
      </c>
      <c r="K78" s="18">
        <v>0.2</v>
      </c>
      <c r="L78" s="18">
        <v>0.5</v>
      </c>
      <c r="M78" s="12">
        <v>11.29</v>
      </c>
      <c r="N78" s="12">
        <v>0.25</v>
      </c>
      <c r="O78" s="12">
        <v>0.23</v>
      </c>
      <c r="P78" s="12">
        <v>19.5</v>
      </c>
      <c r="Q78" s="12">
        <v>0.49</v>
      </c>
      <c r="R78" s="12">
        <v>5.63</v>
      </c>
      <c r="S78" s="12">
        <v>7.75</v>
      </c>
      <c r="T78" s="12">
        <v>2.9</v>
      </c>
      <c r="U78" s="12">
        <v>60</v>
      </c>
      <c r="V78">
        <v>0.56000000000000005</v>
      </c>
      <c r="W78" s="12">
        <v>40.5</v>
      </c>
      <c r="X78" s="12">
        <v>2.02</v>
      </c>
    </row>
    <row r="79" spans="1:24" x14ac:dyDescent="0.45">
      <c r="A79" s="12" t="s">
        <v>136</v>
      </c>
      <c r="B79" s="12">
        <v>2018</v>
      </c>
      <c r="C79" s="12">
        <v>15</v>
      </c>
      <c r="D79" s="12">
        <v>98</v>
      </c>
      <c r="E79" s="12" t="s">
        <v>58</v>
      </c>
      <c r="F79" s="12" t="s">
        <v>57</v>
      </c>
      <c r="G79" s="12">
        <v>-2.58</v>
      </c>
      <c r="H79" s="12">
        <v>-0.16</v>
      </c>
      <c r="I79" s="18">
        <v>0.15</v>
      </c>
      <c r="J79" s="18">
        <v>4.5</v>
      </c>
      <c r="K79" s="18">
        <v>0.5</v>
      </c>
      <c r="L79" s="18">
        <v>0.24</v>
      </c>
      <c r="M79" s="12">
        <v>2.11</v>
      </c>
      <c r="N79" s="12">
        <v>0.11</v>
      </c>
      <c r="O79" s="12">
        <v>-1.08</v>
      </c>
      <c r="P79" s="12">
        <v>23.9</v>
      </c>
      <c r="Q79" s="12">
        <v>0.11</v>
      </c>
      <c r="R79" s="12">
        <v>2.95</v>
      </c>
      <c r="S79" s="12">
        <v>7.54</v>
      </c>
      <c r="T79" s="12">
        <v>3.6</v>
      </c>
      <c r="U79" s="12">
        <v>40</v>
      </c>
      <c r="V79">
        <v>0.37</v>
      </c>
      <c r="W79" s="12">
        <v>20</v>
      </c>
      <c r="X79" s="12">
        <v>2.44</v>
      </c>
    </row>
    <row r="80" spans="1:24" x14ac:dyDescent="0.45">
      <c r="A80" s="12" t="s">
        <v>137</v>
      </c>
      <c r="B80" s="12">
        <v>2018</v>
      </c>
      <c r="C80" s="12">
        <v>4.2</v>
      </c>
      <c r="D80" s="12">
        <v>60</v>
      </c>
      <c r="E80" s="12" t="s">
        <v>57</v>
      </c>
      <c r="F80" s="12" t="s">
        <v>57</v>
      </c>
      <c r="G80" s="12">
        <v>-2.62</v>
      </c>
      <c r="H80" s="12">
        <v>-0.2</v>
      </c>
      <c r="I80" s="18">
        <v>0.5</v>
      </c>
      <c r="J80" s="18">
        <v>22</v>
      </c>
      <c r="K80" s="18">
        <v>0.4</v>
      </c>
      <c r="L80" s="18">
        <v>0.5</v>
      </c>
      <c r="M80" s="12">
        <v>7.71</v>
      </c>
      <c r="N80" s="12">
        <v>0.13</v>
      </c>
      <c r="O80" s="12">
        <v>-0.02</v>
      </c>
      <c r="P80" s="12">
        <v>19.3</v>
      </c>
      <c r="Q80" s="12">
        <v>0.17</v>
      </c>
      <c r="R80" s="12">
        <v>7.9</v>
      </c>
      <c r="S80" s="12">
        <v>8.1300000000000008</v>
      </c>
      <c r="T80" s="12">
        <v>3</v>
      </c>
      <c r="U80" s="12">
        <v>70</v>
      </c>
      <c r="V80">
        <v>0.78</v>
      </c>
      <c r="W80" s="12">
        <v>53.8</v>
      </c>
      <c r="X80" s="12">
        <v>1.84</v>
      </c>
    </row>
    <row r="81" spans="1:24" x14ac:dyDescent="0.45">
      <c r="A81" s="12" t="s">
        <v>138</v>
      </c>
      <c r="B81" s="12">
        <v>2018</v>
      </c>
      <c r="C81" s="12">
        <v>30.6</v>
      </c>
      <c r="D81" s="12">
        <v>98</v>
      </c>
      <c r="E81" s="12" t="s">
        <v>57</v>
      </c>
      <c r="F81" s="12" t="s">
        <v>57</v>
      </c>
      <c r="G81" s="12">
        <v>-1.89</v>
      </c>
      <c r="H81" s="12">
        <v>0.53</v>
      </c>
      <c r="I81" s="18">
        <v>0.24</v>
      </c>
      <c r="J81" s="18">
        <v>7</v>
      </c>
      <c r="K81" s="18">
        <v>0</v>
      </c>
      <c r="L81" s="18">
        <v>0.67</v>
      </c>
      <c r="M81" s="12">
        <v>2.4500000000000002</v>
      </c>
      <c r="N81" s="12">
        <v>0.38</v>
      </c>
      <c r="O81" s="12">
        <v>-0.31</v>
      </c>
      <c r="P81" s="12">
        <v>19.399999999999999</v>
      </c>
      <c r="Q81" s="12">
        <v>0.25</v>
      </c>
      <c r="R81" s="12">
        <v>6.81</v>
      </c>
      <c r="S81" s="12">
        <v>8.0299999999999994</v>
      </c>
      <c r="T81" s="12">
        <v>3.9</v>
      </c>
      <c r="U81" s="12">
        <v>35</v>
      </c>
      <c r="V81">
        <v>0.28999999999999998</v>
      </c>
      <c r="W81" s="12">
        <v>4.5</v>
      </c>
      <c r="X81" s="12">
        <v>2.27</v>
      </c>
    </row>
    <row r="82" spans="1:24" x14ac:dyDescent="0.45">
      <c r="A82" s="12" t="s">
        <v>138</v>
      </c>
      <c r="B82" s="12">
        <v>2019</v>
      </c>
      <c r="C82" s="12">
        <v>29</v>
      </c>
      <c r="D82" s="12">
        <v>98</v>
      </c>
      <c r="E82" s="12" t="s">
        <v>57</v>
      </c>
      <c r="F82" s="12" t="s">
        <v>57</v>
      </c>
      <c r="G82" s="12">
        <v>-2.25</v>
      </c>
      <c r="H82" s="12">
        <v>0.2</v>
      </c>
      <c r="I82" s="18">
        <v>0.13</v>
      </c>
      <c r="J82" s="18">
        <v>66.13</v>
      </c>
      <c r="K82" s="18">
        <v>0.11</v>
      </c>
      <c r="L82" s="18">
        <v>0.4</v>
      </c>
      <c r="M82" s="12">
        <v>5.2</v>
      </c>
      <c r="N82" s="12">
        <v>0.18</v>
      </c>
      <c r="O82" s="12">
        <v>-0.93</v>
      </c>
      <c r="P82" s="12">
        <v>19.2</v>
      </c>
      <c r="Q82" s="12">
        <v>0.21</v>
      </c>
      <c r="R82" s="12">
        <v>7.68</v>
      </c>
      <c r="S82" s="12">
        <v>7.92</v>
      </c>
      <c r="T82" s="12">
        <v>3.9</v>
      </c>
      <c r="U82" s="12">
        <v>65</v>
      </c>
      <c r="V82">
        <v>0.28999999999999998</v>
      </c>
      <c r="W82" s="12">
        <v>17.2</v>
      </c>
      <c r="X82" s="12">
        <v>2.41</v>
      </c>
    </row>
    <row r="83" spans="1:24" x14ac:dyDescent="0.45">
      <c r="A83" s="12" t="s">
        <v>139</v>
      </c>
      <c r="B83" s="12">
        <v>2019</v>
      </c>
      <c r="C83" s="12">
        <v>15.2</v>
      </c>
      <c r="D83" s="12">
        <v>91</v>
      </c>
      <c r="E83" s="12" t="s">
        <v>57</v>
      </c>
      <c r="F83" s="12" t="s">
        <v>57</v>
      </c>
      <c r="G83" s="12">
        <v>-1.55</v>
      </c>
      <c r="H83" s="12">
        <v>0.88</v>
      </c>
      <c r="I83" s="18">
        <v>0.32</v>
      </c>
      <c r="J83" s="18">
        <v>26.33</v>
      </c>
      <c r="K83" s="18">
        <v>0.26</v>
      </c>
      <c r="L83" s="18">
        <v>0.57999999999999996</v>
      </c>
      <c r="M83" s="12">
        <v>9.64</v>
      </c>
      <c r="N83" s="12">
        <v>0.27</v>
      </c>
      <c r="O83" s="12">
        <v>-0.02</v>
      </c>
      <c r="P83" s="12">
        <v>16.600000000000001</v>
      </c>
      <c r="Q83" s="12">
        <v>0.02</v>
      </c>
      <c r="R83" s="12">
        <v>8.36</v>
      </c>
      <c r="S83" s="12">
        <v>8.01</v>
      </c>
      <c r="T83" s="12">
        <v>5.0999999999999996</v>
      </c>
      <c r="U83" s="12">
        <v>50</v>
      </c>
      <c r="V83">
        <v>0.35</v>
      </c>
      <c r="W83" s="12">
        <v>8.1999999999999993</v>
      </c>
      <c r="X83" s="12">
        <v>2.35</v>
      </c>
    </row>
    <row r="84" spans="1:24" x14ac:dyDescent="0.45">
      <c r="A84" s="12" t="s">
        <v>140</v>
      </c>
      <c r="B84" s="12">
        <v>2018</v>
      </c>
      <c r="C84" s="12">
        <v>11.6</v>
      </c>
      <c r="D84" s="12">
        <v>89</v>
      </c>
      <c r="E84" s="12" t="s">
        <v>58</v>
      </c>
      <c r="F84" s="12" t="s">
        <v>57</v>
      </c>
      <c r="G84" s="12">
        <v>-2.5499999999999998</v>
      </c>
      <c r="H84" s="12">
        <v>0.17</v>
      </c>
      <c r="I84" s="18">
        <v>0.23</v>
      </c>
      <c r="J84" s="18">
        <v>10</v>
      </c>
      <c r="K84" s="18">
        <v>0</v>
      </c>
      <c r="L84" s="18">
        <v>0.45</v>
      </c>
      <c r="M84" s="12">
        <v>8.93</v>
      </c>
      <c r="N84" s="12">
        <v>0.54</v>
      </c>
      <c r="O84" s="12">
        <v>-0.12</v>
      </c>
      <c r="P84" s="12">
        <v>18.3</v>
      </c>
      <c r="Q84" s="12">
        <v>0.3</v>
      </c>
      <c r="R84" s="12">
        <v>8.1999999999999993</v>
      </c>
      <c r="S84" s="12">
        <v>8.27</v>
      </c>
      <c r="T84" s="12">
        <v>4.5</v>
      </c>
      <c r="U84" s="12">
        <v>0</v>
      </c>
      <c r="V84">
        <v>0.46</v>
      </c>
      <c r="W84" s="12">
        <v>18.5</v>
      </c>
      <c r="X84" s="12">
        <v>2.2599999999999998</v>
      </c>
    </row>
    <row r="85" spans="1:24" x14ac:dyDescent="0.45">
      <c r="A85" s="12" t="s">
        <v>140</v>
      </c>
      <c r="B85" s="12">
        <v>2019</v>
      </c>
      <c r="C85" s="12">
        <v>11.6</v>
      </c>
      <c r="D85" s="12">
        <v>89</v>
      </c>
      <c r="E85" s="12" t="s">
        <v>58</v>
      </c>
      <c r="F85" s="12" t="s">
        <v>57</v>
      </c>
      <c r="G85" s="12">
        <v>-1.7</v>
      </c>
      <c r="H85" s="12">
        <v>0.72</v>
      </c>
      <c r="I85" s="18">
        <v>0.26</v>
      </c>
      <c r="J85" s="18">
        <v>23.98</v>
      </c>
      <c r="K85" s="18">
        <v>0.25</v>
      </c>
      <c r="L85" s="18">
        <v>1.26</v>
      </c>
      <c r="M85" s="12">
        <v>5.2</v>
      </c>
      <c r="N85" s="12">
        <v>0.18</v>
      </c>
      <c r="O85" s="12">
        <v>0.16</v>
      </c>
      <c r="P85" s="12">
        <v>17.5</v>
      </c>
      <c r="Q85" s="12">
        <v>0.12</v>
      </c>
      <c r="R85" s="12">
        <v>8.44</v>
      </c>
      <c r="S85" s="12">
        <v>8.2200000000000006</v>
      </c>
      <c r="T85" s="12">
        <v>4.5</v>
      </c>
      <c r="U85" s="12">
        <v>40</v>
      </c>
      <c r="V85">
        <v>0.46</v>
      </c>
      <c r="W85" s="12">
        <v>15.2</v>
      </c>
      <c r="X85" s="12">
        <v>1.96</v>
      </c>
    </row>
    <row r="86" spans="1:24" x14ac:dyDescent="0.45">
      <c r="A86" s="12" t="s">
        <v>141</v>
      </c>
      <c r="B86" s="12">
        <v>2018</v>
      </c>
      <c r="C86" s="12">
        <v>13.9</v>
      </c>
      <c r="D86" s="12">
        <v>95</v>
      </c>
      <c r="E86" s="12" t="s">
        <v>57</v>
      </c>
      <c r="F86" s="12" t="s">
        <v>57</v>
      </c>
      <c r="G86" s="12">
        <v>-1.42</v>
      </c>
      <c r="H86" s="12">
        <v>1.01</v>
      </c>
      <c r="I86" s="18">
        <v>0.15</v>
      </c>
      <c r="J86" s="18">
        <v>25</v>
      </c>
      <c r="K86" s="18">
        <v>0.5</v>
      </c>
      <c r="L86" s="18">
        <v>0.67</v>
      </c>
      <c r="M86" s="12">
        <v>7.66</v>
      </c>
      <c r="N86" s="12">
        <v>0.4</v>
      </c>
      <c r="O86" s="12">
        <v>0.01</v>
      </c>
      <c r="P86" s="12">
        <v>19.5</v>
      </c>
      <c r="Q86" s="12">
        <v>0.31</v>
      </c>
      <c r="R86" s="12">
        <v>7.14</v>
      </c>
      <c r="S86" s="12">
        <v>8.32</v>
      </c>
      <c r="T86" s="12">
        <v>4.5</v>
      </c>
      <c r="U86" s="12">
        <v>35</v>
      </c>
      <c r="V86">
        <v>0.21</v>
      </c>
      <c r="W86" s="12">
        <v>18.2</v>
      </c>
      <c r="X86" s="12">
        <v>2.4</v>
      </c>
    </row>
    <row r="87" spans="1:24" x14ac:dyDescent="0.45">
      <c r="A87" s="12" t="s">
        <v>142</v>
      </c>
      <c r="B87" s="12">
        <v>2018</v>
      </c>
      <c r="C87" s="12">
        <v>5.5</v>
      </c>
      <c r="D87" s="12">
        <v>94</v>
      </c>
      <c r="E87" s="12" t="s">
        <v>57</v>
      </c>
      <c r="F87" s="12" t="s">
        <v>57</v>
      </c>
      <c r="G87" s="12">
        <v>-4.21</v>
      </c>
      <c r="H87" s="12">
        <v>-2.2799999999999998</v>
      </c>
      <c r="I87" s="18">
        <v>0.13</v>
      </c>
      <c r="J87" s="18">
        <v>45</v>
      </c>
      <c r="K87" s="18">
        <v>0</v>
      </c>
      <c r="L87" s="18">
        <v>0.45</v>
      </c>
      <c r="M87" s="12">
        <v>13.16</v>
      </c>
      <c r="N87" s="12">
        <v>0.37</v>
      </c>
      <c r="O87" s="12">
        <v>-0.55000000000000004</v>
      </c>
      <c r="P87" s="12">
        <v>16</v>
      </c>
      <c r="Q87" s="12">
        <v>0.36</v>
      </c>
      <c r="R87" s="12">
        <v>8.6999999999999993</v>
      </c>
      <c r="S87" s="12">
        <v>8.1999999999999993</v>
      </c>
      <c r="T87" s="12">
        <v>4.5</v>
      </c>
      <c r="U87" s="12">
        <v>80</v>
      </c>
      <c r="V87">
        <v>0.42</v>
      </c>
      <c r="W87" s="12">
        <v>28</v>
      </c>
      <c r="X87" s="12">
        <v>1.86</v>
      </c>
    </row>
    <row r="88" spans="1:24" x14ac:dyDescent="0.45">
      <c r="A88" s="12" t="s">
        <v>142</v>
      </c>
      <c r="B88" s="12">
        <v>2019</v>
      </c>
      <c r="C88" s="12">
        <v>5.6</v>
      </c>
      <c r="D88" s="12">
        <v>94</v>
      </c>
      <c r="E88" s="12" t="s">
        <v>57</v>
      </c>
      <c r="F88" s="12" t="s">
        <v>57</v>
      </c>
      <c r="G88" s="12">
        <v>-2.42</v>
      </c>
      <c r="H88" s="12">
        <v>0.7</v>
      </c>
      <c r="I88" s="18">
        <v>0.72</v>
      </c>
      <c r="J88" s="18">
        <v>45.47</v>
      </c>
      <c r="K88" s="18">
        <v>0.84</v>
      </c>
      <c r="L88" s="18">
        <v>4</v>
      </c>
      <c r="M88" s="12">
        <v>5.2</v>
      </c>
      <c r="N88" s="12">
        <v>0.18</v>
      </c>
      <c r="O88" s="12">
        <v>-0.65</v>
      </c>
      <c r="P88" s="12">
        <v>15.2</v>
      </c>
      <c r="Q88" s="12">
        <v>0.25</v>
      </c>
      <c r="R88" s="12">
        <v>6.87</v>
      </c>
      <c r="S88" s="12">
        <v>7.43</v>
      </c>
      <c r="T88" s="12">
        <v>4.5</v>
      </c>
      <c r="U88" s="12">
        <v>50</v>
      </c>
      <c r="V88">
        <v>0.42</v>
      </c>
      <c r="W88" s="12">
        <v>16.100000000000001</v>
      </c>
      <c r="X88" s="12">
        <v>2.06</v>
      </c>
    </row>
    <row r="89" spans="1:24" x14ac:dyDescent="0.45">
      <c r="A89" s="12" t="s">
        <v>143</v>
      </c>
      <c r="B89" s="12">
        <v>2018</v>
      </c>
      <c r="C89" s="12">
        <v>9.1999999999999993</v>
      </c>
      <c r="D89" s="12">
        <v>39</v>
      </c>
      <c r="E89" s="12" t="s">
        <v>57</v>
      </c>
      <c r="F89" s="12" t="s">
        <v>57</v>
      </c>
      <c r="G89" s="12">
        <v>-2.2200000000000002</v>
      </c>
      <c r="H89" s="12">
        <v>0.21</v>
      </c>
      <c r="I89" s="18">
        <v>0.15</v>
      </c>
      <c r="J89" s="18">
        <v>10</v>
      </c>
      <c r="K89" s="18">
        <v>0.4</v>
      </c>
      <c r="L89" s="18">
        <v>0.45</v>
      </c>
      <c r="M89" s="12">
        <v>10.039999999999999</v>
      </c>
      <c r="N89" s="12">
        <v>1.01</v>
      </c>
      <c r="O89" s="12">
        <v>-0.26</v>
      </c>
      <c r="P89" s="12">
        <v>20.100000000000001</v>
      </c>
      <c r="Q89" s="12">
        <v>0.24</v>
      </c>
      <c r="R89" s="12">
        <v>5.99</v>
      </c>
      <c r="S89" s="12">
        <v>8.1</v>
      </c>
      <c r="T89" s="12">
        <v>4.2</v>
      </c>
      <c r="U89" s="12">
        <v>50</v>
      </c>
      <c r="V89">
        <v>0.5</v>
      </c>
      <c r="W89" s="12">
        <v>36.4</v>
      </c>
      <c r="X89" s="12">
        <v>2.2999999999999998</v>
      </c>
    </row>
    <row r="90" spans="1:24" x14ac:dyDescent="0.45">
      <c r="A90" s="12" t="s">
        <v>144</v>
      </c>
      <c r="B90" s="12">
        <v>2019</v>
      </c>
      <c r="C90" s="12">
        <v>10.1</v>
      </c>
      <c r="D90" s="12">
        <v>44</v>
      </c>
      <c r="E90" s="12" t="s">
        <v>57</v>
      </c>
      <c r="F90" s="12" t="s">
        <v>57</v>
      </c>
      <c r="G90" s="12">
        <v>-2.7</v>
      </c>
      <c r="H90" s="12">
        <v>0.67</v>
      </c>
      <c r="I90" s="18">
        <v>0.4</v>
      </c>
      <c r="J90" s="18">
        <v>14.08</v>
      </c>
      <c r="K90" s="18">
        <v>0.36</v>
      </c>
      <c r="L90" s="18">
        <v>1.44</v>
      </c>
      <c r="M90" s="12">
        <v>4.2</v>
      </c>
      <c r="N90" s="12">
        <v>0.57999999999999996</v>
      </c>
      <c r="O90" s="12">
        <v>-0.16</v>
      </c>
      <c r="P90" s="12">
        <v>19.3</v>
      </c>
      <c r="Q90" s="12">
        <v>0.3</v>
      </c>
      <c r="R90" s="12">
        <v>7.93</v>
      </c>
      <c r="S90" s="12">
        <v>8.49</v>
      </c>
      <c r="T90" s="12">
        <v>5.2</v>
      </c>
      <c r="U90" s="12">
        <v>25</v>
      </c>
      <c r="V90">
        <v>0.39</v>
      </c>
      <c r="W90" s="12">
        <v>23.5</v>
      </c>
      <c r="X90" s="12">
        <v>2.16</v>
      </c>
    </row>
    <row r="91" spans="1:24" x14ac:dyDescent="0.45">
      <c r="A91" s="12" t="s">
        <v>145</v>
      </c>
      <c r="B91" s="12">
        <v>2019</v>
      </c>
      <c r="C91" s="12">
        <v>18.600000000000001</v>
      </c>
      <c r="D91" s="12">
        <v>97</v>
      </c>
      <c r="E91" s="12" t="s">
        <v>57</v>
      </c>
      <c r="F91" s="12" t="s">
        <v>57</v>
      </c>
      <c r="G91" s="12">
        <v>-1.1599999999999999</v>
      </c>
      <c r="H91" s="12">
        <v>1.26</v>
      </c>
      <c r="I91" s="18">
        <v>0.51</v>
      </c>
      <c r="J91" s="18">
        <v>52.9</v>
      </c>
      <c r="K91" s="18">
        <v>0.67</v>
      </c>
      <c r="L91" s="18">
        <v>1.45</v>
      </c>
      <c r="M91" s="12">
        <v>15.42</v>
      </c>
      <c r="N91" s="12">
        <v>0.32</v>
      </c>
      <c r="O91" s="12">
        <v>-0.2</v>
      </c>
      <c r="P91" s="12">
        <v>17.2</v>
      </c>
      <c r="Q91" s="12">
        <v>0.26</v>
      </c>
      <c r="R91" s="12">
        <v>7.28</v>
      </c>
      <c r="S91" s="12">
        <v>8.34</v>
      </c>
      <c r="T91" s="12">
        <v>4.7</v>
      </c>
      <c r="U91" s="12">
        <v>10</v>
      </c>
      <c r="V91">
        <v>0.32</v>
      </c>
      <c r="W91" s="12">
        <v>11.6</v>
      </c>
      <c r="X91" s="12">
        <v>1.99</v>
      </c>
    </row>
    <row r="92" spans="1:24" x14ac:dyDescent="0.45">
      <c r="A92" s="12" t="s">
        <v>146</v>
      </c>
      <c r="B92" s="12">
        <v>2018</v>
      </c>
      <c r="C92" s="12">
        <v>22.3</v>
      </c>
      <c r="D92" s="12">
        <v>88</v>
      </c>
      <c r="E92" s="12" t="s">
        <v>57</v>
      </c>
      <c r="F92" s="12" t="s">
        <v>57</v>
      </c>
      <c r="G92" s="12">
        <v>-2.5499999999999998</v>
      </c>
      <c r="H92" s="12">
        <v>0.23</v>
      </c>
      <c r="I92" s="18">
        <v>0.24</v>
      </c>
      <c r="J92" s="18">
        <v>9</v>
      </c>
      <c r="K92" s="18">
        <v>0.25</v>
      </c>
      <c r="L92" s="18">
        <v>0.25</v>
      </c>
      <c r="M92" s="12">
        <v>11.15</v>
      </c>
      <c r="N92" s="12">
        <v>0.12</v>
      </c>
      <c r="O92" s="12">
        <v>0.04</v>
      </c>
      <c r="P92" s="12">
        <v>20.399999999999999</v>
      </c>
      <c r="Q92" s="12">
        <v>0.42</v>
      </c>
      <c r="R92" s="12">
        <v>6.55</v>
      </c>
      <c r="S92" s="12">
        <v>8.27</v>
      </c>
      <c r="T92" s="12">
        <v>5.8</v>
      </c>
      <c r="U92" s="12">
        <v>10</v>
      </c>
      <c r="V92">
        <v>0.46</v>
      </c>
      <c r="W92" s="12">
        <v>42.4</v>
      </c>
      <c r="X92" s="12">
        <v>2.0699999999999998</v>
      </c>
    </row>
    <row r="93" spans="1:24" x14ac:dyDescent="0.45">
      <c r="A93" s="12" t="s">
        <v>147</v>
      </c>
      <c r="B93" s="12">
        <v>2019</v>
      </c>
      <c r="C93" s="12">
        <v>4.8</v>
      </c>
      <c r="D93" s="12">
        <v>85</v>
      </c>
      <c r="E93" s="12" t="s">
        <v>57</v>
      </c>
      <c r="F93" s="12" t="s">
        <v>57</v>
      </c>
      <c r="G93" s="12">
        <v>-1.68</v>
      </c>
      <c r="H93" s="12">
        <v>1.1299999999999999</v>
      </c>
      <c r="I93" s="18">
        <v>2.74</v>
      </c>
      <c r="J93" s="18">
        <v>101.55</v>
      </c>
      <c r="K93" s="18">
        <v>2.4</v>
      </c>
      <c r="L93" s="18">
        <v>9.01</v>
      </c>
      <c r="M93" s="12">
        <v>22.4</v>
      </c>
      <c r="N93" s="12">
        <v>1.17</v>
      </c>
      <c r="O93" s="12">
        <v>0.44</v>
      </c>
      <c r="P93" s="12">
        <v>14.4</v>
      </c>
      <c r="Q93" s="12">
        <v>0.34</v>
      </c>
      <c r="R93" s="12">
        <v>8.77</v>
      </c>
      <c r="S93" s="12">
        <v>7.53</v>
      </c>
      <c r="T93" s="12">
        <v>4.3</v>
      </c>
      <c r="U93" s="12">
        <v>90</v>
      </c>
      <c r="V93">
        <v>0.53</v>
      </c>
      <c r="W93" s="12">
        <v>25.9</v>
      </c>
      <c r="X93" s="12">
        <v>1.82</v>
      </c>
    </row>
    <row r="94" spans="1:24" x14ac:dyDescent="0.45">
      <c r="A94" s="12" t="s">
        <v>148</v>
      </c>
      <c r="B94" s="12">
        <v>2018</v>
      </c>
      <c r="C94" s="12">
        <v>19.5</v>
      </c>
      <c r="D94" s="12">
        <v>74</v>
      </c>
      <c r="E94" s="12" t="s">
        <v>57</v>
      </c>
      <c r="F94" s="12" t="s">
        <v>57</v>
      </c>
      <c r="G94" s="12">
        <v>-2.61</v>
      </c>
      <c r="H94" s="12">
        <v>0.03</v>
      </c>
      <c r="I94" s="18">
        <v>0.13</v>
      </c>
      <c r="J94" s="18">
        <v>1.6</v>
      </c>
      <c r="K94" s="18">
        <v>0.12</v>
      </c>
      <c r="L94" s="18">
        <v>0.46</v>
      </c>
      <c r="M94" s="12">
        <v>10.81</v>
      </c>
      <c r="N94" s="12">
        <v>0.12</v>
      </c>
      <c r="O94" s="12">
        <v>-0.54</v>
      </c>
      <c r="P94" s="12">
        <v>18.399999999999999</v>
      </c>
      <c r="Q94" s="12">
        <v>0.33</v>
      </c>
      <c r="R94" s="12">
        <v>7.03</v>
      </c>
      <c r="S94" s="12">
        <v>7.9</v>
      </c>
      <c r="T94" s="12">
        <v>3.6</v>
      </c>
      <c r="U94" s="12">
        <v>45</v>
      </c>
      <c r="V94">
        <v>0.5</v>
      </c>
      <c r="W94" s="12">
        <v>25</v>
      </c>
      <c r="X94" s="12">
        <v>2.1</v>
      </c>
    </row>
    <row r="95" spans="1:24" x14ac:dyDescent="0.45">
      <c r="A95" s="12" t="s">
        <v>149</v>
      </c>
      <c r="B95" s="12">
        <v>2018</v>
      </c>
      <c r="C95" s="12">
        <v>9.6999999999999993</v>
      </c>
      <c r="D95" s="12">
        <v>87</v>
      </c>
      <c r="E95" s="12" t="s">
        <v>57</v>
      </c>
      <c r="F95" s="12" t="s">
        <v>57</v>
      </c>
      <c r="G95" s="12">
        <v>-0.14000000000000001</v>
      </c>
      <c r="H95" s="12">
        <v>2.2799999999999998</v>
      </c>
      <c r="I95" s="18">
        <v>0.92</v>
      </c>
      <c r="J95" s="18">
        <v>23.5</v>
      </c>
      <c r="K95" s="18">
        <v>2.9</v>
      </c>
      <c r="L95" s="18">
        <v>1.92</v>
      </c>
      <c r="M95" s="12">
        <v>12.23</v>
      </c>
      <c r="N95" s="12">
        <v>1.67</v>
      </c>
      <c r="O95" s="12">
        <v>-0.06</v>
      </c>
      <c r="P95" s="12">
        <v>16.100000000000001</v>
      </c>
      <c r="Q95" s="12">
        <v>0.12</v>
      </c>
      <c r="R95" s="12">
        <v>8.49</v>
      </c>
      <c r="S95" s="12">
        <v>7.87</v>
      </c>
      <c r="T95" s="12">
        <v>4</v>
      </c>
      <c r="U95" s="12">
        <v>60</v>
      </c>
      <c r="V95">
        <v>0.32</v>
      </c>
      <c r="W95" s="12">
        <v>19.100000000000001</v>
      </c>
      <c r="X95" s="12">
        <v>2.25</v>
      </c>
    </row>
    <row r="96" spans="1:24" x14ac:dyDescent="0.45">
      <c r="A96" s="12" t="s">
        <v>150</v>
      </c>
      <c r="B96" s="12">
        <v>2019</v>
      </c>
      <c r="C96" s="12">
        <v>1.7</v>
      </c>
      <c r="D96" s="12">
        <v>99</v>
      </c>
      <c r="E96" s="12" t="s">
        <v>57</v>
      </c>
      <c r="F96" s="12" t="s">
        <v>57</v>
      </c>
      <c r="G96" s="12">
        <v>-2.71</v>
      </c>
      <c r="H96" s="12">
        <v>-0.46</v>
      </c>
      <c r="I96" s="18">
        <v>1.36</v>
      </c>
      <c r="J96" s="18">
        <v>553.48</v>
      </c>
      <c r="K96" s="18">
        <v>2.78</v>
      </c>
      <c r="L96" s="18">
        <v>4.5</v>
      </c>
      <c r="M96" s="12">
        <v>23.9</v>
      </c>
      <c r="N96" s="12">
        <v>1.21</v>
      </c>
      <c r="O96" s="12">
        <v>0.12</v>
      </c>
      <c r="P96" s="12">
        <v>15.3</v>
      </c>
      <c r="Q96" s="12">
        <v>0.13</v>
      </c>
      <c r="R96" s="12">
        <v>4.95</v>
      </c>
      <c r="S96" s="12">
        <v>6.86</v>
      </c>
      <c r="T96" s="12">
        <v>3.1</v>
      </c>
      <c r="U96" s="12">
        <v>100</v>
      </c>
      <c r="V96">
        <v>0.3</v>
      </c>
      <c r="W96" s="12">
        <v>10</v>
      </c>
      <c r="X96" s="12">
        <v>3.08</v>
      </c>
    </row>
    <row r="97" spans="1:24" x14ac:dyDescent="0.45">
      <c r="A97" s="12" t="s">
        <v>151</v>
      </c>
      <c r="B97" s="12">
        <v>2019</v>
      </c>
      <c r="C97" s="12">
        <v>2.7</v>
      </c>
      <c r="D97" s="12">
        <v>2</v>
      </c>
      <c r="E97" s="12" t="s">
        <v>57</v>
      </c>
      <c r="F97" s="12" t="s">
        <v>57</v>
      </c>
      <c r="G97" s="12">
        <v>-4.08</v>
      </c>
      <c r="H97" s="12">
        <v>-2.81</v>
      </c>
      <c r="I97" s="18">
        <v>0.04</v>
      </c>
      <c r="J97" s="18">
        <v>3.23</v>
      </c>
      <c r="K97" s="18">
        <v>0.02</v>
      </c>
      <c r="L97" s="18">
        <v>0.08</v>
      </c>
      <c r="M97" s="12">
        <v>1.1100000000000001</v>
      </c>
      <c r="N97" s="12">
        <v>0.01</v>
      </c>
      <c r="O97" s="12">
        <v>-0.67</v>
      </c>
      <c r="P97" s="12">
        <v>16.600000000000001</v>
      </c>
      <c r="Q97" s="12">
        <v>0.26</v>
      </c>
      <c r="R97" s="12">
        <v>8.15</v>
      </c>
      <c r="S97" s="12">
        <v>6.86</v>
      </c>
      <c r="T97" s="12">
        <v>1.9</v>
      </c>
      <c r="U97" s="12">
        <v>65</v>
      </c>
      <c r="V97">
        <v>0.62</v>
      </c>
      <c r="W97" s="12">
        <v>40.700000000000003</v>
      </c>
      <c r="X97" s="12">
        <v>1.86</v>
      </c>
    </row>
    <row r="98" spans="1:24" x14ac:dyDescent="0.45">
      <c r="A98" s="12" t="s">
        <v>152</v>
      </c>
      <c r="B98" s="12">
        <v>2018</v>
      </c>
      <c r="C98" s="12">
        <v>4.2</v>
      </c>
      <c r="D98" s="12">
        <v>0</v>
      </c>
      <c r="E98" s="12" t="s">
        <v>57</v>
      </c>
      <c r="F98" s="12" t="s">
        <v>57</v>
      </c>
      <c r="G98" s="12">
        <v>-5</v>
      </c>
      <c r="H98" s="12">
        <v>-3</v>
      </c>
      <c r="I98" s="18">
        <v>0</v>
      </c>
      <c r="J98" s="18">
        <v>0</v>
      </c>
      <c r="K98" s="18">
        <v>0</v>
      </c>
      <c r="L98" s="18">
        <v>0</v>
      </c>
      <c r="M98" s="12">
        <v>3.07</v>
      </c>
      <c r="N98" s="12">
        <v>0.09</v>
      </c>
      <c r="O98" s="12">
        <v>-1.08</v>
      </c>
      <c r="P98" s="12">
        <v>23.6</v>
      </c>
      <c r="Q98" s="12">
        <v>0.42</v>
      </c>
      <c r="R98" s="12">
        <v>9.18</v>
      </c>
      <c r="S98" s="12">
        <v>7.7</v>
      </c>
      <c r="T98" s="12">
        <v>1.4</v>
      </c>
      <c r="U98" s="12">
        <v>75</v>
      </c>
      <c r="V98">
        <v>1</v>
      </c>
      <c r="W98" s="12">
        <v>58.3</v>
      </c>
      <c r="X98" s="12">
        <v>1.99</v>
      </c>
    </row>
    <row r="99" spans="1:24" x14ac:dyDescent="0.45">
      <c r="A99" s="12" t="s">
        <v>152</v>
      </c>
      <c r="B99" s="12">
        <v>2019</v>
      </c>
      <c r="C99" s="12">
        <v>4.2</v>
      </c>
      <c r="D99" s="12">
        <v>0</v>
      </c>
      <c r="E99" s="12" t="s">
        <v>57</v>
      </c>
      <c r="F99" s="12" t="s">
        <v>57</v>
      </c>
      <c r="G99" s="12">
        <v>-2.96</v>
      </c>
      <c r="H99" s="12">
        <v>-1.01</v>
      </c>
      <c r="I99" s="18">
        <v>0.33</v>
      </c>
      <c r="J99" s="18">
        <v>11.75</v>
      </c>
      <c r="K99" s="18">
        <v>0.21</v>
      </c>
      <c r="L99" s="18">
        <v>0.27</v>
      </c>
      <c r="M99" s="12">
        <v>1.94</v>
      </c>
      <c r="N99" s="12">
        <v>0.05</v>
      </c>
      <c r="O99" s="12">
        <v>-0.4</v>
      </c>
      <c r="P99" s="12">
        <v>18.600000000000001</v>
      </c>
      <c r="Q99" s="12">
        <v>0.12</v>
      </c>
      <c r="R99" s="12">
        <v>8.85</v>
      </c>
      <c r="S99" s="12">
        <v>7.76</v>
      </c>
      <c r="T99" s="12">
        <v>1.4</v>
      </c>
      <c r="U99" s="12">
        <v>65</v>
      </c>
      <c r="V99">
        <v>1</v>
      </c>
      <c r="W99" s="12">
        <v>35</v>
      </c>
      <c r="X99" s="12">
        <v>1.83</v>
      </c>
    </row>
    <row r="100" spans="1:24" x14ac:dyDescent="0.45">
      <c r="A100" s="12" t="s">
        <v>153</v>
      </c>
      <c r="B100" s="12">
        <v>2019</v>
      </c>
      <c r="C100" s="12">
        <v>32.200000000000003</v>
      </c>
      <c r="D100" s="12">
        <v>1</v>
      </c>
      <c r="E100" s="12" t="s">
        <v>57</v>
      </c>
      <c r="F100" s="12" t="s">
        <v>170</v>
      </c>
      <c r="G100" s="12">
        <v>-3.74</v>
      </c>
      <c r="H100" s="12">
        <v>-1.1299999999999999</v>
      </c>
      <c r="I100" s="18">
        <v>0.06</v>
      </c>
      <c r="J100" s="18">
        <v>10.97</v>
      </c>
      <c r="K100" s="18">
        <v>0.03</v>
      </c>
      <c r="L100" s="18">
        <v>0.05</v>
      </c>
      <c r="M100" s="12">
        <v>3.1</v>
      </c>
      <c r="N100" s="12">
        <v>0.02</v>
      </c>
      <c r="O100" s="12">
        <v>-1.71</v>
      </c>
      <c r="P100" s="12">
        <v>16</v>
      </c>
      <c r="Q100" s="12">
        <v>0.43</v>
      </c>
      <c r="R100" s="12">
        <v>7.93</v>
      </c>
      <c r="S100" s="12">
        <v>6.5</v>
      </c>
      <c r="T100" s="12">
        <v>2.8</v>
      </c>
      <c r="U100" s="12">
        <v>60</v>
      </c>
      <c r="V100">
        <v>0.85</v>
      </c>
      <c r="W100" s="12">
        <v>37.700000000000003</v>
      </c>
      <c r="X100" s="12">
        <v>1.69</v>
      </c>
    </row>
    <row r="101" spans="1:24" x14ac:dyDescent="0.45">
      <c r="A101" s="12" t="s">
        <v>154</v>
      </c>
      <c r="B101" s="12">
        <v>2019</v>
      </c>
      <c r="C101" s="12">
        <v>22.1</v>
      </c>
      <c r="D101" s="12">
        <v>19</v>
      </c>
      <c r="E101" s="12" t="s">
        <v>57</v>
      </c>
      <c r="F101" s="12" t="s">
        <v>171</v>
      </c>
      <c r="G101" s="12">
        <v>-4.09</v>
      </c>
      <c r="H101" s="12">
        <v>-1.5</v>
      </c>
      <c r="I101" s="18">
        <v>0.09</v>
      </c>
      <c r="J101" s="18">
        <v>4.82</v>
      </c>
      <c r="K101" s="18">
        <v>0.03</v>
      </c>
      <c r="L101" s="18">
        <v>9.23</v>
      </c>
      <c r="M101" s="12">
        <v>1</v>
      </c>
      <c r="N101" s="12">
        <v>0.01</v>
      </c>
      <c r="O101" s="12">
        <v>-0.76</v>
      </c>
      <c r="P101" s="12">
        <v>18.600000000000001</v>
      </c>
      <c r="Q101" s="12">
        <v>0.51</v>
      </c>
      <c r="R101" s="12">
        <v>8.0399999999999991</v>
      </c>
      <c r="S101" s="12">
        <v>6.42</v>
      </c>
      <c r="T101" s="12">
        <v>1.8</v>
      </c>
      <c r="U101" s="12">
        <v>60</v>
      </c>
      <c r="V101">
        <v>1.03</v>
      </c>
      <c r="W101" s="12">
        <v>41.8</v>
      </c>
      <c r="X101" s="12">
        <v>1.59</v>
      </c>
    </row>
    <row r="102" spans="1:24" x14ac:dyDescent="0.45">
      <c r="A102" s="12" t="s">
        <v>155</v>
      </c>
      <c r="B102" s="12">
        <v>2019</v>
      </c>
      <c r="C102" s="12">
        <v>2.5</v>
      </c>
      <c r="D102" s="12">
        <v>0</v>
      </c>
      <c r="E102" s="12" t="s">
        <v>57</v>
      </c>
      <c r="F102" s="12" t="s">
        <v>57</v>
      </c>
      <c r="G102" s="12">
        <v>-3.28</v>
      </c>
      <c r="H102" s="12">
        <v>-0.28999999999999998</v>
      </c>
      <c r="I102" s="18">
        <v>0.51</v>
      </c>
      <c r="J102" s="18">
        <v>3.64</v>
      </c>
      <c r="K102" s="18">
        <v>0.03</v>
      </c>
      <c r="L102" s="18">
        <v>0</v>
      </c>
      <c r="M102" s="12">
        <v>1.53</v>
      </c>
      <c r="N102" s="12">
        <v>0.48</v>
      </c>
      <c r="O102" s="12">
        <v>-0.31</v>
      </c>
      <c r="P102" s="12">
        <v>18.5</v>
      </c>
      <c r="Q102" s="12">
        <v>0.3</v>
      </c>
      <c r="R102" s="12">
        <v>8.3000000000000007</v>
      </c>
      <c r="S102" s="12">
        <v>8.0299999999999994</v>
      </c>
      <c r="T102" s="12">
        <v>2.4</v>
      </c>
      <c r="U102" s="12">
        <v>100</v>
      </c>
      <c r="V102">
        <v>0.88</v>
      </c>
      <c r="W102" s="12">
        <v>72.400000000000006</v>
      </c>
      <c r="X102" s="12">
        <v>1.84</v>
      </c>
    </row>
    <row r="103" spans="1:24" x14ac:dyDescent="0.45">
      <c r="A103" s="12" t="s">
        <v>156</v>
      </c>
      <c r="B103" s="12">
        <v>2019</v>
      </c>
      <c r="C103" s="12">
        <v>3.4</v>
      </c>
      <c r="D103" s="12">
        <v>0</v>
      </c>
      <c r="E103" s="12" t="s">
        <v>57</v>
      </c>
      <c r="F103" s="12" t="s">
        <v>167</v>
      </c>
      <c r="G103" s="12">
        <v>-3.23</v>
      </c>
      <c r="H103" s="12">
        <v>-0.24</v>
      </c>
      <c r="I103" s="18">
        <v>0.61</v>
      </c>
      <c r="J103" s="18">
        <v>8.3000000000000007</v>
      </c>
      <c r="K103" s="18">
        <v>0.27</v>
      </c>
      <c r="L103" s="18">
        <v>0.81</v>
      </c>
      <c r="M103" s="12">
        <v>3.01</v>
      </c>
      <c r="N103" s="12">
        <v>0.21</v>
      </c>
      <c r="O103" s="12">
        <v>-0.61</v>
      </c>
      <c r="P103" s="12">
        <v>17.100000000000001</v>
      </c>
      <c r="Q103" s="12">
        <v>0.15</v>
      </c>
      <c r="R103" s="12">
        <v>7.86</v>
      </c>
      <c r="S103" s="12">
        <v>7.95</v>
      </c>
      <c r="T103" s="12">
        <v>2.2000000000000002</v>
      </c>
      <c r="U103" s="12">
        <v>70</v>
      </c>
      <c r="V103">
        <v>0.49</v>
      </c>
      <c r="W103" s="12">
        <v>23.7</v>
      </c>
      <c r="X103" s="12">
        <v>1.78</v>
      </c>
    </row>
    <row r="104" spans="1:24" x14ac:dyDescent="0.45">
      <c r="A104" s="12" t="s">
        <v>157</v>
      </c>
      <c r="B104" s="12">
        <v>2018</v>
      </c>
      <c r="C104" s="12">
        <v>3.8</v>
      </c>
      <c r="D104" s="12">
        <v>0</v>
      </c>
      <c r="E104" s="12" t="s">
        <v>57</v>
      </c>
      <c r="F104" s="12" t="s">
        <v>57</v>
      </c>
      <c r="G104" s="12">
        <v>-1.68</v>
      </c>
      <c r="H104" s="12">
        <v>1.05</v>
      </c>
      <c r="I104" s="18">
        <v>0.01</v>
      </c>
      <c r="J104" s="18">
        <v>1.44</v>
      </c>
      <c r="K104" s="18">
        <v>0.1</v>
      </c>
      <c r="L104" s="18">
        <v>0.98</v>
      </c>
      <c r="M104" s="12">
        <v>1.06</v>
      </c>
      <c r="N104" s="12">
        <v>0.04</v>
      </c>
      <c r="O104" s="12">
        <v>-0.78</v>
      </c>
      <c r="P104" s="12">
        <v>18.600000000000001</v>
      </c>
      <c r="Q104" s="12">
        <v>0.2</v>
      </c>
      <c r="R104" s="12">
        <v>8.3000000000000007</v>
      </c>
      <c r="S104" s="12">
        <v>7.37</v>
      </c>
      <c r="T104" s="12">
        <v>1.6</v>
      </c>
      <c r="U104" s="12">
        <v>80</v>
      </c>
      <c r="V104">
        <v>0.54</v>
      </c>
      <c r="W104" s="12">
        <v>37.1</v>
      </c>
      <c r="X104" s="12">
        <v>1.71</v>
      </c>
    </row>
    <row r="105" spans="1:24" x14ac:dyDescent="0.45">
      <c r="A105" s="12" t="s">
        <v>158</v>
      </c>
      <c r="B105" s="12">
        <v>2018</v>
      </c>
      <c r="C105" s="12">
        <v>10.199999999999999</v>
      </c>
      <c r="D105" s="12">
        <v>3</v>
      </c>
      <c r="E105" s="12" t="s">
        <v>57</v>
      </c>
      <c r="F105" s="12" t="s">
        <v>57</v>
      </c>
      <c r="G105" s="12">
        <v>-5</v>
      </c>
      <c r="H105" s="12">
        <v>-3</v>
      </c>
      <c r="I105" s="18">
        <v>0.02</v>
      </c>
      <c r="J105" s="18">
        <v>2.38</v>
      </c>
      <c r="K105" s="18">
        <v>0.1</v>
      </c>
      <c r="L105" s="18">
        <v>2.1</v>
      </c>
      <c r="M105" s="12">
        <v>2.52</v>
      </c>
      <c r="N105" s="12">
        <v>0.06</v>
      </c>
      <c r="O105" s="12">
        <v>-1.72</v>
      </c>
      <c r="P105" s="12">
        <v>19.8</v>
      </c>
      <c r="Q105" s="12">
        <v>0.27</v>
      </c>
      <c r="R105" s="12">
        <v>8.3000000000000007</v>
      </c>
      <c r="S105" s="12">
        <v>7.34</v>
      </c>
      <c r="T105" s="12">
        <v>1.9</v>
      </c>
      <c r="U105" s="12">
        <v>100</v>
      </c>
      <c r="V105">
        <v>0.86</v>
      </c>
      <c r="W105" s="12">
        <v>64.7</v>
      </c>
      <c r="X105" s="12">
        <v>1.67</v>
      </c>
    </row>
    <row r="106" spans="1:24" x14ac:dyDescent="0.45">
      <c r="A106" s="12" t="s">
        <v>159</v>
      </c>
      <c r="B106" s="12">
        <v>2019</v>
      </c>
      <c r="C106" s="12">
        <v>10.3</v>
      </c>
      <c r="D106" s="12">
        <v>3</v>
      </c>
      <c r="E106" s="12" t="s">
        <v>57</v>
      </c>
      <c r="F106" s="12" t="s">
        <v>57</v>
      </c>
      <c r="G106" s="12">
        <v>-4.08</v>
      </c>
      <c r="H106" s="12">
        <v>-1.18</v>
      </c>
      <c r="I106" s="18">
        <v>0.16</v>
      </c>
      <c r="J106" s="18">
        <v>5.37</v>
      </c>
      <c r="K106" s="18">
        <v>0.05</v>
      </c>
      <c r="L106" s="18">
        <v>0.24</v>
      </c>
      <c r="M106" s="12">
        <v>1.94</v>
      </c>
      <c r="N106" s="12">
        <v>0.05</v>
      </c>
      <c r="O106" s="12">
        <v>-1.3</v>
      </c>
      <c r="P106" s="12">
        <v>19.8</v>
      </c>
      <c r="Q106" s="12">
        <v>0.36</v>
      </c>
      <c r="R106" s="12">
        <v>8.3000000000000007</v>
      </c>
      <c r="S106" s="12">
        <v>7.17</v>
      </c>
      <c r="T106" s="12">
        <v>3.6</v>
      </c>
      <c r="U106" s="12">
        <v>40</v>
      </c>
      <c r="V106">
        <v>0.76</v>
      </c>
      <c r="W106" s="12">
        <v>43.3</v>
      </c>
      <c r="X106" s="12">
        <v>1.63</v>
      </c>
    </row>
    <row r="107" spans="1:24" x14ac:dyDescent="0.45">
      <c r="A107" s="12" t="s">
        <v>160</v>
      </c>
      <c r="B107" s="12">
        <v>2018</v>
      </c>
      <c r="C107" s="12">
        <v>2.2000000000000002</v>
      </c>
      <c r="D107" s="12">
        <v>0</v>
      </c>
      <c r="E107" s="12" t="s">
        <v>57</v>
      </c>
      <c r="F107" s="12" t="s">
        <v>57</v>
      </c>
      <c r="G107" s="12">
        <v>-1.7</v>
      </c>
      <c r="H107" s="12">
        <v>1.04</v>
      </c>
      <c r="I107" s="18">
        <v>0.01</v>
      </c>
      <c r="J107" s="18">
        <v>3.1</v>
      </c>
      <c r="K107" s="18">
        <v>0.1</v>
      </c>
      <c r="L107" s="18">
        <v>1.46</v>
      </c>
      <c r="M107" s="12">
        <v>1.18</v>
      </c>
      <c r="N107" s="12">
        <v>0.02</v>
      </c>
      <c r="O107" s="12">
        <v>-1.1100000000000001</v>
      </c>
      <c r="P107" s="12">
        <v>18.5</v>
      </c>
      <c r="Q107" s="12">
        <v>0.24</v>
      </c>
      <c r="R107" s="12">
        <v>8.3000000000000007</v>
      </c>
      <c r="S107" s="12">
        <v>7.23</v>
      </c>
      <c r="T107" s="12">
        <v>3.8</v>
      </c>
      <c r="U107" s="12">
        <v>15</v>
      </c>
      <c r="V107">
        <v>0.34</v>
      </c>
      <c r="W107" s="12">
        <v>25</v>
      </c>
      <c r="X107" s="12">
        <v>1.52</v>
      </c>
    </row>
    <row r="108" spans="1:24" x14ac:dyDescent="0.45">
      <c r="A108" s="12" t="s">
        <v>161</v>
      </c>
      <c r="B108" s="12">
        <v>2018</v>
      </c>
      <c r="C108" s="12">
        <v>10.7</v>
      </c>
      <c r="D108" s="12">
        <v>11</v>
      </c>
      <c r="E108" s="12" t="s">
        <v>57</v>
      </c>
      <c r="F108" s="12" t="s">
        <v>57</v>
      </c>
      <c r="G108" s="12">
        <v>-1.68</v>
      </c>
      <c r="H108" s="12">
        <v>1.05</v>
      </c>
      <c r="I108" s="18">
        <v>0.01</v>
      </c>
      <c r="J108" s="18">
        <v>1.9</v>
      </c>
      <c r="K108" s="18">
        <v>0.1</v>
      </c>
      <c r="L108" s="18">
        <v>1.46</v>
      </c>
      <c r="M108" s="12">
        <v>1.94</v>
      </c>
      <c r="N108" s="12">
        <v>0.05</v>
      </c>
      <c r="O108" s="12">
        <v>-2.98</v>
      </c>
      <c r="P108" s="12">
        <v>17.600000000000001</v>
      </c>
      <c r="Q108" s="12">
        <v>0.23</v>
      </c>
      <c r="R108" s="12">
        <v>8.7100000000000009</v>
      </c>
      <c r="S108" s="12">
        <v>7.39</v>
      </c>
      <c r="T108" s="12">
        <v>3.8499999999999996</v>
      </c>
      <c r="U108" s="12">
        <v>0</v>
      </c>
      <c r="V108">
        <v>0.33</v>
      </c>
      <c r="W108" s="12">
        <v>9.1</v>
      </c>
      <c r="X108" s="12">
        <v>1.95</v>
      </c>
    </row>
    <row r="109" spans="1:24" x14ac:dyDescent="0.45">
      <c r="A109" s="12" t="s">
        <v>162</v>
      </c>
      <c r="B109" s="12">
        <v>2018</v>
      </c>
      <c r="C109" s="12">
        <v>0.9</v>
      </c>
      <c r="D109" s="12">
        <v>0</v>
      </c>
      <c r="E109" s="12" t="s">
        <v>57</v>
      </c>
      <c r="F109" s="12" t="s">
        <v>58</v>
      </c>
      <c r="G109" s="12">
        <v>-5</v>
      </c>
      <c r="H109" s="12">
        <v>-2.66</v>
      </c>
      <c r="I109" s="18">
        <v>0</v>
      </c>
      <c r="J109" s="18">
        <v>0</v>
      </c>
      <c r="K109" s="18">
        <v>0</v>
      </c>
      <c r="L109" s="18">
        <v>0.43</v>
      </c>
      <c r="M109" s="12">
        <v>1.49</v>
      </c>
      <c r="N109" s="12">
        <v>0.01</v>
      </c>
      <c r="O109" s="12">
        <v>-2.73</v>
      </c>
      <c r="P109" s="12">
        <v>20.3</v>
      </c>
      <c r="Q109" s="12">
        <v>0.32</v>
      </c>
      <c r="R109" s="12">
        <v>9.84</v>
      </c>
      <c r="S109" s="12">
        <v>7.87</v>
      </c>
      <c r="T109" s="12">
        <v>2.4</v>
      </c>
      <c r="U109" s="12">
        <v>70</v>
      </c>
      <c r="V109">
        <v>1.04</v>
      </c>
      <c r="W109" s="12">
        <v>47.7</v>
      </c>
      <c r="X109" s="12">
        <v>1.7</v>
      </c>
    </row>
    <row r="110" spans="1:24" x14ac:dyDescent="0.45">
      <c r="A110" s="12" t="s">
        <v>163</v>
      </c>
      <c r="B110" s="12">
        <v>2018</v>
      </c>
      <c r="C110" s="12">
        <v>1.6</v>
      </c>
      <c r="D110" s="12">
        <v>7</v>
      </c>
      <c r="E110" s="12" t="s">
        <v>57</v>
      </c>
      <c r="F110" s="12" t="s">
        <v>57</v>
      </c>
      <c r="G110" s="12">
        <v>-5</v>
      </c>
      <c r="H110" s="12">
        <v>-2.73</v>
      </c>
      <c r="I110" s="18">
        <v>0</v>
      </c>
      <c r="J110" s="18">
        <v>1.6</v>
      </c>
      <c r="K110" s="18">
        <v>0.08</v>
      </c>
      <c r="L110" s="18">
        <v>0.33</v>
      </c>
      <c r="M110" s="12">
        <v>0.75</v>
      </c>
      <c r="N110" s="12">
        <v>0.04</v>
      </c>
      <c r="O110" s="12">
        <v>-2.66</v>
      </c>
      <c r="P110" s="12">
        <v>14.6</v>
      </c>
      <c r="Q110" s="12">
        <v>0.27</v>
      </c>
      <c r="R110" s="12">
        <v>9.58</v>
      </c>
      <c r="S110" s="12">
        <v>7.28</v>
      </c>
      <c r="T110" s="12">
        <v>2.5999999999999996</v>
      </c>
      <c r="U110" s="12">
        <v>55</v>
      </c>
      <c r="V110">
        <v>0.75</v>
      </c>
      <c r="W110" s="12">
        <v>37.299999999999997</v>
      </c>
      <c r="X110" s="12">
        <v>1.7</v>
      </c>
    </row>
    <row r="111" spans="1:24" x14ac:dyDescent="0.45">
      <c r="A111" s="12" t="s">
        <v>163</v>
      </c>
      <c r="B111" s="12">
        <v>2019</v>
      </c>
      <c r="C111" s="12">
        <v>1.6</v>
      </c>
      <c r="D111" s="12">
        <v>7</v>
      </c>
      <c r="E111" s="12" t="s">
        <v>57</v>
      </c>
      <c r="F111" s="12" t="s">
        <v>57</v>
      </c>
      <c r="G111" s="12">
        <v>-3.86</v>
      </c>
      <c r="H111" s="12">
        <v>-0.87</v>
      </c>
      <c r="I111" s="18">
        <v>0.02</v>
      </c>
      <c r="J111" s="18">
        <v>2.98</v>
      </c>
      <c r="K111" s="18">
        <v>0.01</v>
      </c>
      <c r="L111" s="18">
        <v>0.34</v>
      </c>
      <c r="M111" s="12">
        <v>1.94</v>
      </c>
      <c r="N111" s="12">
        <v>0.05</v>
      </c>
      <c r="O111" s="12">
        <v>-1.1100000000000001</v>
      </c>
      <c r="P111" s="12">
        <v>21.8</v>
      </c>
      <c r="Q111" s="12">
        <v>0.35</v>
      </c>
      <c r="R111" s="12">
        <v>9.26</v>
      </c>
      <c r="S111" s="12">
        <v>7.44</v>
      </c>
      <c r="T111" s="12">
        <v>2.5999999999999996</v>
      </c>
      <c r="U111" s="12">
        <v>95</v>
      </c>
      <c r="V111">
        <v>0.75</v>
      </c>
      <c r="W111" s="12">
        <v>39.4</v>
      </c>
      <c r="X111" s="12">
        <v>1.58</v>
      </c>
    </row>
    <row r="112" spans="1:24" x14ac:dyDescent="0.45">
      <c r="A112" s="12" t="s">
        <v>164</v>
      </c>
      <c r="B112" s="12">
        <v>2018</v>
      </c>
      <c r="C112" s="12">
        <v>7.8</v>
      </c>
      <c r="D112" s="12">
        <v>0</v>
      </c>
      <c r="E112" s="12" t="s">
        <v>57</v>
      </c>
      <c r="F112" s="12" t="s">
        <v>57</v>
      </c>
      <c r="G112" s="12">
        <v>-5</v>
      </c>
      <c r="H112" s="12">
        <v>-2.5</v>
      </c>
      <c r="I112" s="18">
        <v>0</v>
      </c>
      <c r="J112" s="18">
        <v>1.8</v>
      </c>
      <c r="K112" s="18">
        <v>0</v>
      </c>
      <c r="L112" s="18">
        <v>0.23</v>
      </c>
      <c r="M112" s="12">
        <v>1.24</v>
      </c>
      <c r="N112" s="12">
        <v>0.13</v>
      </c>
      <c r="O112" s="12">
        <v>-0.36</v>
      </c>
      <c r="P112" s="12">
        <v>21.6</v>
      </c>
      <c r="Q112" s="12">
        <v>0.05</v>
      </c>
      <c r="R112" s="12">
        <v>7.86</v>
      </c>
      <c r="S112" s="12">
        <v>7.32</v>
      </c>
      <c r="T112" s="12">
        <v>3.2</v>
      </c>
      <c r="U112" s="12">
        <v>70</v>
      </c>
      <c r="V112">
        <v>0.72</v>
      </c>
      <c r="W112" s="12">
        <v>50</v>
      </c>
      <c r="X112" s="12">
        <v>1.59</v>
      </c>
    </row>
    <row r="113" spans="1:24" x14ac:dyDescent="0.45">
      <c r="A113" s="12" t="s">
        <v>165</v>
      </c>
      <c r="B113" s="13">
        <v>2019</v>
      </c>
      <c r="C113" s="13">
        <v>1.9</v>
      </c>
      <c r="D113" s="13">
        <v>1</v>
      </c>
      <c r="E113" s="13" t="s">
        <v>57</v>
      </c>
      <c r="F113" s="13" t="s">
        <v>57</v>
      </c>
      <c r="G113" s="13">
        <v>-3.47</v>
      </c>
      <c r="H113" s="13">
        <v>-0.77</v>
      </c>
      <c r="I113" s="13">
        <v>0.6</v>
      </c>
      <c r="J113" s="13">
        <v>15.41</v>
      </c>
      <c r="K113" s="13">
        <v>0.17</v>
      </c>
      <c r="L113" s="13">
        <v>2.0699999999999998</v>
      </c>
      <c r="M113" s="13">
        <v>13.5</v>
      </c>
      <c r="N113" s="13">
        <v>1.53</v>
      </c>
      <c r="O113" s="13">
        <v>-0.71</v>
      </c>
      <c r="P113" s="13">
        <v>21.6</v>
      </c>
      <c r="Q113" s="13">
        <v>0.23</v>
      </c>
      <c r="R113" s="13">
        <v>8.3000000000000007</v>
      </c>
      <c r="S113" s="13">
        <v>7.4</v>
      </c>
      <c r="T113" s="13">
        <v>3.4</v>
      </c>
      <c r="U113" s="13">
        <v>55</v>
      </c>
      <c r="V113" s="15">
        <v>0.99</v>
      </c>
      <c r="W113" s="13">
        <v>44.7</v>
      </c>
      <c r="X113" s="13">
        <v>1.65</v>
      </c>
    </row>
    <row r="114" spans="1:24" x14ac:dyDescent="0.45">
      <c r="A114" s="4"/>
      <c r="B114" s="5"/>
      <c r="C114" s="6"/>
      <c r="D114" s="6"/>
      <c r="G114" s="6"/>
      <c r="I114" s="6"/>
      <c r="J114" s="6"/>
      <c r="K114" s="6"/>
      <c r="L114" s="6"/>
      <c r="M114" s="6"/>
      <c r="N114" s="6"/>
      <c r="O114" s="4"/>
      <c r="P114" s="4"/>
      <c r="Q114" s="6"/>
      <c r="R114" s="6"/>
      <c r="S114" s="6"/>
      <c r="T114" s="6"/>
      <c r="U114" s="6"/>
      <c r="V114" s="6"/>
      <c r="W114" s="6"/>
      <c r="X114" s="4"/>
    </row>
    <row r="115" spans="1:24" x14ac:dyDescent="0.45">
      <c r="A115" s="4"/>
      <c r="B115" s="5"/>
      <c r="C115" s="6"/>
      <c r="D115" s="6"/>
      <c r="G115" s="6"/>
      <c r="I115" s="6"/>
      <c r="J115" s="6"/>
      <c r="K115" s="6"/>
      <c r="L115" s="6"/>
      <c r="M115" s="6"/>
      <c r="N115" s="6"/>
      <c r="O115" s="4"/>
      <c r="P115" s="4"/>
      <c r="Q115" s="6"/>
      <c r="R115" s="6"/>
      <c r="S115" s="6"/>
      <c r="T115" s="6"/>
      <c r="U115" s="6"/>
      <c r="V115" s="6"/>
      <c r="W115" s="6"/>
      <c r="X115" s="4"/>
    </row>
    <row r="116" spans="1:24" x14ac:dyDescent="0.45">
      <c r="A116" s="4"/>
      <c r="B116" s="5"/>
      <c r="C116" s="6"/>
      <c r="D116" s="6"/>
      <c r="G116" s="6"/>
      <c r="I116" s="6"/>
      <c r="J116" s="6"/>
      <c r="K116" s="6"/>
      <c r="L116" s="6"/>
      <c r="M116" s="6"/>
      <c r="N116" s="6"/>
      <c r="O116" s="4"/>
      <c r="P116" s="4"/>
      <c r="Q116" s="6"/>
      <c r="R116" s="6"/>
      <c r="S116" s="6"/>
      <c r="T116" s="6"/>
      <c r="U116" s="6"/>
      <c r="V116" s="6"/>
      <c r="W116" s="6"/>
      <c r="X116" s="4"/>
    </row>
    <row r="117" spans="1:24" x14ac:dyDescent="0.45">
      <c r="A117" s="4"/>
      <c r="B117" s="5"/>
      <c r="C117" s="6"/>
      <c r="D117" s="6"/>
      <c r="G117" s="6"/>
      <c r="I117" s="6"/>
      <c r="J117" s="6"/>
      <c r="K117" s="6"/>
      <c r="L117" s="6"/>
      <c r="M117" s="6"/>
      <c r="N117" s="6"/>
      <c r="O117" s="4"/>
      <c r="P117" s="4"/>
      <c r="Q117" s="6"/>
      <c r="R117" s="6"/>
      <c r="S117" s="6"/>
      <c r="T117" s="6"/>
      <c r="U117" s="6"/>
      <c r="V117" s="6"/>
      <c r="W117" s="6"/>
      <c r="X117" s="4"/>
    </row>
    <row r="118" spans="1:24" x14ac:dyDescent="0.45">
      <c r="A118" s="4"/>
      <c r="B118" s="5"/>
      <c r="C118" s="6"/>
      <c r="D118" s="6"/>
      <c r="G118" s="6"/>
      <c r="I118" s="6"/>
      <c r="J118" s="6"/>
      <c r="K118" s="6"/>
      <c r="L118" s="6"/>
      <c r="M118" s="6"/>
      <c r="N118" s="6"/>
      <c r="O118" s="4"/>
      <c r="P118" s="4"/>
      <c r="Q118" s="6"/>
      <c r="R118" s="6"/>
      <c r="S118" s="6"/>
      <c r="T118" s="6"/>
      <c r="U118" s="6"/>
      <c r="V118" s="6"/>
      <c r="W118" s="6"/>
      <c r="X118" s="4"/>
    </row>
    <row r="119" spans="1:24" x14ac:dyDescent="0.45">
      <c r="A119" s="4"/>
      <c r="B119" s="5"/>
      <c r="C119" s="6"/>
      <c r="D119" s="6"/>
      <c r="G119" s="6"/>
      <c r="I119" s="6"/>
      <c r="J119" s="6"/>
      <c r="K119" s="6"/>
      <c r="L119" s="6"/>
      <c r="M119" s="6"/>
      <c r="N119" s="6"/>
      <c r="O119" s="4"/>
      <c r="P119" s="4"/>
      <c r="Q119" s="6"/>
      <c r="R119" s="6"/>
      <c r="S119" s="6"/>
      <c r="T119" s="6"/>
      <c r="U119" s="6"/>
      <c r="V119" s="6"/>
      <c r="W119" s="6"/>
      <c r="X119" s="4"/>
    </row>
    <row r="120" spans="1:24" x14ac:dyDescent="0.45">
      <c r="A120" s="4"/>
      <c r="B120" s="5"/>
      <c r="C120" s="6"/>
      <c r="D120" s="6"/>
      <c r="G120" s="6"/>
      <c r="I120" s="6"/>
      <c r="J120" s="6"/>
      <c r="K120" s="6"/>
      <c r="L120" s="6"/>
      <c r="M120" s="6"/>
      <c r="N120" s="6"/>
      <c r="O120" s="4"/>
      <c r="P120" s="4"/>
      <c r="Q120" s="6"/>
      <c r="R120" s="6"/>
      <c r="S120" s="6"/>
      <c r="T120" s="6"/>
      <c r="U120" s="6"/>
      <c r="V120" s="6"/>
      <c r="W120" s="6"/>
      <c r="X120" s="4"/>
    </row>
    <row r="121" spans="1:24" x14ac:dyDescent="0.45">
      <c r="A121" s="4"/>
      <c r="B121" s="5"/>
      <c r="C121" s="6"/>
      <c r="D121" s="6"/>
      <c r="G121" s="6"/>
      <c r="I121" s="6"/>
      <c r="J121" s="6"/>
      <c r="K121" s="6"/>
      <c r="L121" s="6"/>
      <c r="M121" s="6"/>
      <c r="N121" s="6"/>
      <c r="O121" s="4"/>
      <c r="P121" s="4"/>
      <c r="Q121" s="6"/>
      <c r="R121" s="6"/>
      <c r="S121" s="6"/>
      <c r="T121" s="6"/>
      <c r="U121" s="6"/>
      <c r="V121" s="6"/>
      <c r="W121" s="6"/>
      <c r="X121" s="4"/>
    </row>
    <row r="122" spans="1:24" x14ac:dyDescent="0.45">
      <c r="A122" s="4"/>
      <c r="B122" s="5"/>
      <c r="C122" s="6"/>
      <c r="D122" s="6"/>
      <c r="G122" s="6"/>
      <c r="I122" s="6"/>
      <c r="J122" s="6"/>
      <c r="K122" s="6"/>
      <c r="L122" s="6"/>
      <c r="M122" s="6"/>
      <c r="N122" s="6"/>
      <c r="O122" s="4"/>
      <c r="P122" s="4"/>
      <c r="Q122" s="6"/>
      <c r="R122" s="6"/>
      <c r="S122" s="6"/>
      <c r="T122" s="6"/>
      <c r="U122" s="6"/>
      <c r="V122" s="6"/>
      <c r="W122" s="6"/>
      <c r="X122" s="4"/>
    </row>
    <row r="123" spans="1:24" x14ac:dyDescent="0.45">
      <c r="A123" s="4"/>
      <c r="B123" s="5"/>
      <c r="C123" s="6"/>
      <c r="D123" s="6"/>
      <c r="G123" s="6"/>
      <c r="I123" s="6"/>
      <c r="J123" s="6"/>
      <c r="K123" s="6"/>
      <c r="L123" s="6"/>
      <c r="M123" s="6"/>
      <c r="N123" s="6"/>
      <c r="O123" s="4"/>
      <c r="P123" s="4"/>
      <c r="Q123" s="6"/>
      <c r="R123" s="6"/>
      <c r="S123" s="6"/>
      <c r="T123" s="6"/>
      <c r="U123" s="6"/>
      <c r="V123" s="6"/>
      <c r="W123" s="6"/>
      <c r="X123" s="4"/>
    </row>
    <row r="124" spans="1:24" x14ac:dyDescent="0.45">
      <c r="A124" s="4"/>
      <c r="B124" s="5"/>
      <c r="C124" s="6"/>
      <c r="D124" s="6"/>
      <c r="G124" s="6"/>
      <c r="I124" s="6"/>
      <c r="J124" s="6"/>
      <c r="K124" s="6"/>
      <c r="L124" s="6"/>
      <c r="M124" s="6"/>
      <c r="N124" s="6"/>
      <c r="O124" s="4"/>
      <c r="P124" s="4"/>
      <c r="Q124" s="6"/>
      <c r="R124" s="6"/>
      <c r="S124" s="6"/>
      <c r="T124" s="6"/>
      <c r="U124" s="6"/>
      <c r="V124" s="6"/>
      <c r="W124" s="6"/>
      <c r="X124" s="4"/>
    </row>
    <row r="125" spans="1:24" x14ac:dyDescent="0.45">
      <c r="A125" s="9"/>
      <c r="B125" s="10"/>
      <c r="C125" s="11"/>
      <c r="D125" s="11"/>
      <c r="G125" s="11"/>
      <c r="I125" s="11"/>
      <c r="J125" s="11"/>
      <c r="K125" s="11"/>
      <c r="L125" s="11"/>
      <c r="M125" s="11"/>
      <c r="N125" s="11"/>
      <c r="O125" s="9"/>
      <c r="P125" s="9"/>
      <c r="Q125" s="11"/>
      <c r="R125" s="11"/>
      <c r="S125" s="11"/>
      <c r="T125" s="11"/>
      <c r="U125" s="11"/>
      <c r="V125" s="11"/>
      <c r="W125" s="11"/>
      <c r="X125" s="9"/>
    </row>
  </sheetData>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0"/>
  <sheetViews>
    <sheetView zoomScale="80" zoomScaleNormal="80" workbookViewId="0">
      <pane ySplit="1" topLeftCell="A2" activePane="bottomLeft" state="frozen"/>
      <selection pane="bottomLeft" activeCell="B25" sqref="B25"/>
    </sheetView>
  </sheetViews>
  <sheetFormatPr defaultColWidth="10.9296875" defaultRowHeight="14.25" x14ac:dyDescent="0.45"/>
  <cols>
    <col min="1" max="1" width="22.06640625" style="3" bestFit="1" customWidth="1"/>
    <col min="2" max="2" width="80" style="3" customWidth="1"/>
    <col min="3" max="3" width="102.796875" style="3" bestFit="1" customWidth="1"/>
    <col min="4" max="16384" width="10.9296875" style="3"/>
  </cols>
  <sheetData>
    <row r="1" spans="1:3" ht="14.65" thickBot="1" x14ac:dyDescent="0.5">
      <c r="A1" s="8" t="s">
        <v>20</v>
      </c>
      <c r="B1" s="7" t="s">
        <v>21</v>
      </c>
      <c r="C1" s="8" t="s">
        <v>22</v>
      </c>
    </row>
    <row r="2" spans="1:3" ht="42.75" x14ac:dyDescent="0.45">
      <c r="A2" s="6" t="s">
        <v>0</v>
      </c>
      <c r="B2" s="4" t="s">
        <v>52</v>
      </c>
      <c r="C2" s="6" t="s">
        <v>23</v>
      </c>
    </row>
    <row r="3" spans="1:3" x14ac:dyDescent="0.45">
      <c r="A3" s="6" t="s">
        <v>49</v>
      </c>
      <c r="B3" s="4" t="s">
        <v>24</v>
      </c>
      <c r="C3" s="6" t="s">
        <v>23</v>
      </c>
    </row>
    <row r="4" spans="1:3" ht="28.5" x14ac:dyDescent="0.45">
      <c r="A4" s="6" t="s">
        <v>50</v>
      </c>
      <c r="B4" s="4" t="s">
        <v>44</v>
      </c>
      <c r="C4" s="6" t="s">
        <v>23</v>
      </c>
    </row>
    <row r="5" spans="1:3" x14ac:dyDescent="0.45">
      <c r="A5" s="6" t="s">
        <v>56</v>
      </c>
      <c r="B5" s="4" t="s">
        <v>59</v>
      </c>
      <c r="C5" s="6" t="s">
        <v>23</v>
      </c>
    </row>
    <row r="6" spans="1:3" ht="57" x14ac:dyDescent="0.45">
      <c r="A6" s="6" t="s">
        <v>166</v>
      </c>
      <c r="B6" s="4" t="s">
        <v>172</v>
      </c>
    </row>
    <row r="7" spans="1:3" ht="15.75" x14ac:dyDescent="0.45">
      <c r="A7" s="6" t="s">
        <v>48</v>
      </c>
      <c r="B7" s="4" t="s">
        <v>47</v>
      </c>
      <c r="C7" s="6" t="s">
        <v>25</v>
      </c>
    </row>
    <row r="8" spans="1:3" ht="26.25" x14ac:dyDescent="0.45">
      <c r="A8" s="16" t="s">
        <v>60</v>
      </c>
      <c r="B8" s="17" t="s">
        <v>61</v>
      </c>
      <c r="C8" s="16" t="s">
        <v>62</v>
      </c>
    </row>
    <row r="9" spans="1:3" ht="15.75" x14ac:dyDescent="0.45">
      <c r="A9" s="6" t="s">
        <v>40</v>
      </c>
      <c r="B9" s="4" t="s">
        <v>26</v>
      </c>
      <c r="C9" s="6" t="s">
        <v>27</v>
      </c>
    </row>
    <row r="10" spans="1:3" ht="42.75" x14ac:dyDescent="0.45">
      <c r="A10" s="6" t="s">
        <v>28</v>
      </c>
      <c r="B10" s="4" t="s">
        <v>64</v>
      </c>
      <c r="C10" s="6" t="s">
        <v>27</v>
      </c>
    </row>
    <row r="11" spans="1:3" ht="28.5" x14ac:dyDescent="0.45">
      <c r="A11" s="6" t="s">
        <v>41</v>
      </c>
      <c r="B11" s="4" t="s">
        <v>51</v>
      </c>
      <c r="C11" s="6" t="s">
        <v>29</v>
      </c>
    </row>
    <row r="12" spans="1:3" ht="15.75" x14ac:dyDescent="0.45">
      <c r="A12" s="6" t="s">
        <v>30</v>
      </c>
      <c r="B12" s="4" t="s">
        <v>31</v>
      </c>
      <c r="C12" s="6" t="s">
        <v>42</v>
      </c>
    </row>
    <row r="13" spans="1:3" x14ac:dyDescent="0.45">
      <c r="A13" s="6" t="s">
        <v>32</v>
      </c>
      <c r="B13" s="4" t="s">
        <v>33</v>
      </c>
      <c r="C13" s="6" t="s">
        <v>34</v>
      </c>
    </row>
    <row r="14" spans="1:3" ht="15.75" x14ac:dyDescent="0.45">
      <c r="A14" s="6" t="s">
        <v>43</v>
      </c>
      <c r="B14" s="4" t="s">
        <v>35</v>
      </c>
      <c r="C14" s="6" t="s">
        <v>36</v>
      </c>
    </row>
    <row r="15" spans="1:3" x14ac:dyDescent="0.45">
      <c r="A15" s="6" t="s">
        <v>2</v>
      </c>
      <c r="B15" s="4" t="s">
        <v>37</v>
      </c>
      <c r="C15" s="6" t="s">
        <v>38</v>
      </c>
    </row>
    <row r="16" spans="1:3" ht="28.5" x14ac:dyDescent="0.45">
      <c r="A16" s="6" t="s">
        <v>11</v>
      </c>
      <c r="B16" s="4" t="s">
        <v>45</v>
      </c>
      <c r="C16" s="6" t="s">
        <v>23</v>
      </c>
    </row>
    <row r="17" spans="1:3" ht="42.75" x14ac:dyDescent="0.45">
      <c r="A17" s="6" t="s">
        <v>3</v>
      </c>
      <c r="B17" s="4" t="s">
        <v>39</v>
      </c>
      <c r="C17" s="6" t="s">
        <v>23</v>
      </c>
    </row>
    <row r="18" spans="1:3" ht="42.75" x14ac:dyDescent="0.45">
      <c r="A18" s="6" t="s">
        <v>18</v>
      </c>
      <c r="B18" s="4" t="s">
        <v>55</v>
      </c>
      <c r="C18" s="6" t="s">
        <v>23</v>
      </c>
    </row>
    <row r="19" spans="1:3" ht="57" x14ac:dyDescent="0.45">
      <c r="A19" s="6" t="s">
        <v>4</v>
      </c>
      <c r="B19" s="4" t="s">
        <v>54</v>
      </c>
      <c r="C19" s="6" t="s">
        <v>23</v>
      </c>
    </row>
    <row r="20" spans="1:3" ht="42.75" x14ac:dyDescent="0.45">
      <c r="A20" s="6" t="s">
        <v>5</v>
      </c>
      <c r="B20" s="4" t="s">
        <v>53</v>
      </c>
      <c r="C20" s="6" t="s">
        <v>23</v>
      </c>
    </row>
  </sheetData>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A3B3D-5FEC-4A46-98C2-576B21A5A0F4}">
  <dimension ref="A1:C102"/>
  <sheetViews>
    <sheetView workbookViewId="0">
      <selection activeCell="D17" sqref="D17"/>
    </sheetView>
  </sheetViews>
  <sheetFormatPr defaultRowHeight="14.25" x14ac:dyDescent="0.45"/>
  <cols>
    <col min="2" max="2" width="10.33203125" bestFit="1" customWidth="1"/>
  </cols>
  <sheetData>
    <row r="1" spans="1:3" x14ac:dyDescent="0.45">
      <c r="A1" t="s">
        <v>179</v>
      </c>
      <c r="B1" t="s">
        <v>173</v>
      </c>
      <c r="C1" t="s">
        <v>174</v>
      </c>
    </row>
    <row r="2" spans="1:3" x14ac:dyDescent="0.45">
      <c r="A2" t="s">
        <v>65</v>
      </c>
      <c r="B2">
        <v>-3.55</v>
      </c>
      <c r="C2">
        <v>0.82</v>
      </c>
    </row>
    <row r="3" spans="1:3" x14ac:dyDescent="0.45">
      <c r="A3" t="s">
        <v>74</v>
      </c>
      <c r="B3">
        <v>-2.4500000000000002</v>
      </c>
      <c r="C3">
        <v>0.65</v>
      </c>
    </row>
    <row r="4" spans="1:3" x14ac:dyDescent="0.45">
      <c r="A4" t="s">
        <v>151</v>
      </c>
      <c r="B4">
        <v>-4.08</v>
      </c>
      <c r="C4">
        <v>0.62</v>
      </c>
    </row>
    <row r="5" spans="1:3" x14ac:dyDescent="0.45">
      <c r="A5" t="s">
        <v>152</v>
      </c>
      <c r="B5">
        <v>-7.96</v>
      </c>
      <c r="C5">
        <v>1</v>
      </c>
    </row>
    <row r="6" spans="1:3" x14ac:dyDescent="0.45">
      <c r="A6" t="s">
        <v>153</v>
      </c>
      <c r="B6">
        <v>-3.74</v>
      </c>
      <c r="C6">
        <v>0.85</v>
      </c>
    </row>
    <row r="7" spans="1:3" x14ac:dyDescent="0.45">
      <c r="A7" t="s">
        <v>154</v>
      </c>
      <c r="B7">
        <v>-4.09</v>
      </c>
      <c r="C7">
        <v>1.03</v>
      </c>
    </row>
    <row r="8" spans="1:3" x14ac:dyDescent="0.45">
      <c r="A8" t="s">
        <v>155</v>
      </c>
      <c r="B8">
        <v>-3.28</v>
      </c>
      <c r="C8">
        <v>0.88</v>
      </c>
    </row>
    <row r="9" spans="1:3" x14ac:dyDescent="0.45">
      <c r="A9" t="s">
        <v>156</v>
      </c>
      <c r="B9">
        <v>-3.23</v>
      </c>
      <c r="C9">
        <v>0.49</v>
      </c>
    </row>
    <row r="10" spans="1:3" x14ac:dyDescent="0.45">
      <c r="A10" t="s">
        <v>75</v>
      </c>
      <c r="B10">
        <v>-2.13</v>
      </c>
      <c r="C10">
        <v>0.15</v>
      </c>
    </row>
    <row r="11" spans="1:3" x14ac:dyDescent="0.45">
      <c r="A11" t="s">
        <v>157</v>
      </c>
      <c r="B11">
        <v>-1.68</v>
      </c>
      <c r="C11">
        <v>0.54</v>
      </c>
    </row>
    <row r="12" spans="1:3" x14ac:dyDescent="0.45">
      <c r="A12" t="s">
        <v>158</v>
      </c>
      <c r="B12">
        <v>-5</v>
      </c>
      <c r="C12">
        <v>0.86</v>
      </c>
    </row>
    <row r="13" spans="1:3" x14ac:dyDescent="0.45">
      <c r="A13" t="s">
        <v>159</v>
      </c>
      <c r="B13">
        <v>-4.08</v>
      </c>
      <c r="C13">
        <v>0.76</v>
      </c>
    </row>
    <row r="14" spans="1:3" x14ac:dyDescent="0.45">
      <c r="A14" t="s">
        <v>160</v>
      </c>
      <c r="B14">
        <v>-1.7</v>
      </c>
      <c r="C14">
        <v>0.34</v>
      </c>
    </row>
    <row r="15" spans="1:3" x14ac:dyDescent="0.45">
      <c r="A15" t="s">
        <v>161</v>
      </c>
      <c r="B15">
        <v>-1.68</v>
      </c>
      <c r="C15">
        <v>0.33</v>
      </c>
    </row>
    <row r="16" spans="1:3" x14ac:dyDescent="0.45">
      <c r="A16" t="s">
        <v>162</v>
      </c>
      <c r="B16">
        <v>-5</v>
      </c>
      <c r="C16">
        <v>1.04</v>
      </c>
    </row>
    <row r="17" spans="1:3" x14ac:dyDescent="0.45">
      <c r="A17" t="s">
        <v>163</v>
      </c>
      <c r="B17">
        <v>-8.86</v>
      </c>
      <c r="C17">
        <v>0.75</v>
      </c>
    </row>
    <row r="18" spans="1:3" x14ac:dyDescent="0.45">
      <c r="A18" t="s">
        <v>164</v>
      </c>
      <c r="B18">
        <v>-5</v>
      </c>
      <c r="C18">
        <v>0.72</v>
      </c>
    </row>
    <row r="19" spans="1:3" x14ac:dyDescent="0.45">
      <c r="A19" t="s">
        <v>165</v>
      </c>
      <c r="B19">
        <v>-3.47</v>
      </c>
      <c r="C19">
        <v>0.99</v>
      </c>
    </row>
    <row r="20" spans="1:3" x14ac:dyDescent="0.45">
      <c r="A20" t="s">
        <v>76</v>
      </c>
      <c r="B20">
        <v>-2.52</v>
      </c>
      <c r="C20">
        <v>0.7</v>
      </c>
    </row>
    <row r="21" spans="1:3" x14ac:dyDescent="0.45">
      <c r="A21" t="s">
        <v>77</v>
      </c>
      <c r="B21">
        <v>-5</v>
      </c>
      <c r="C21">
        <v>0.79</v>
      </c>
    </row>
    <row r="22" spans="1:3" x14ac:dyDescent="0.45">
      <c r="A22" t="s">
        <v>78</v>
      </c>
      <c r="B22">
        <v>-2.4900000000000002</v>
      </c>
      <c r="C22">
        <v>0.17</v>
      </c>
    </row>
    <row r="23" spans="1:3" x14ac:dyDescent="0.45">
      <c r="A23" t="s">
        <v>79</v>
      </c>
      <c r="B23">
        <v>-2.52</v>
      </c>
      <c r="C23">
        <v>0.5</v>
      </c>
    </row>
    <row r="24" spans="1:3" x14ac:dyDescent="0.45">
      <c r="A24" t="s">
        <v>80</v>
      </c>
      <c r="B24">
        <v>-2.5499999999999998</v>
      </c>
      <c r="C24">
        <v>0.49</v>
      </c>
    </row>
    <row r="25" spans="1:3" x14ac:dyDescent="0.45">
      <c r="A25" t="s">
        <v>81</v>
      </c>
      <c r="B25">
        <v>-2.8</v>
      </c>
      <c r="C25">
        <v>0.47</v>
      </c>
    </row>
    <row r="26" spans="1:3" x14ac:dyDescent="0.45">
      <c r="A26" t="s">
        <v>82</v>
      </c>
      <c r="B26">
        <v>-1.43</v>
      </c>
      <c r="C26">
        <v>0.33</v>
      </c>
    </row>
    <row r="27" spans="1:3" x14ac:dyDescent="0.45">
      <c r="A27" t="s">
        <v>83</v>
      </c>
      <c r="B27">
        <v>-2.2200000000000002</v>
      </c>
      <c r="C27">
        <v>0.44</v>
      </c>
    </row>
    <row r="28" spans="1:3" x14ac:dyDescent="0.45">
      <c r="A28" t="s">
        <v>66</v>
      </c>
      <c r="B28">
        <v>-2.95</v>
      </c>
      <c r="C28">
        <v>0.41</v>
      </c>
    </row>
    <row r="29" spans="1:3" x14ac:dyDescent="0.45">
      <c r="A29" t="s">
        <v>84</v>
      </c>
      <c r="B29">
        <v>-3.08</v>
      </c>
      <c r="C29">
        <v>0.41</v>
      </c>
    </row>
    <row r="30" spans="1:3" x14ac:dyDescent="0.45">
      <c r="A30" t="s">
        <v>85</v>
      </c>
      <c r="B30">
        <v>-3.38</v>
      </c>
      <c r="C30">
        <v>0.46</v>
      </c>
    </row>
    <row r="31" spans="1:3" x14ac:dyDescent="0.45">
      <c r="A31" t="s">
        <v>86</v>
      </c>
      <c r="B31">
        <v>-3.07</v>
      </c>
      <c r="C31">
        <v>0.25</v>
      </c>
    </row>
    <row r="32" spans="1:3" x14ac:dyDescent="0.45">
      <c r="A32" t="s">
        <v>87</v>
      </c>
      <c r="B32">
        <v>-1.56</v>
      </c>
      <c r="C32">
        <v>0.45</v>
      </c>
    </row>
    <row r="33" spans="1:3" x14ac:dyDescent="0.45">
      <c r="A33" t="s">
        <v>88</v>
      </c>
      <c r="B33">
        <v>-1.43</v>
      </c>
      <c r="C33">
        <v>0</v>
      </c>
    </row>
    <row r="34" spans="1:3" x14ac:dyDescent="0.45">
      <c r="A34" t="s">
        <v>89</v>
      </c>
      <c r="B34">
        <v>-1.77</v>
      </c>
      <c r="C34">
        <v>0.35</v>
      </c>
    </row>
    <row r="35" spans="1:3" x14ac:dyDescent="0.45">
      <c r="A35" t="s">
        <v>90</v>
      </c>
      <c r="B35">
        <v>-2.4500000000000002</v>
      </c>
      <c r="C35">
        <v>0.4</v>
      </c>
    </row>
    <row r="36" spans="1:3" x14ac:dyDescent="0.45">
      <c r="A36" t="s">
        <v>91</v>
      </c>
      <c r="B36">
        <v>-2.57</v>
      </c>
      <c r="C36">
        <v>0.43</v>
      </c>
    </row>
    <row r="37" spans="1:3" x14ac:dyDescent="0.45">
      <c r="A37" t="s">
        <v>92</v>
      </c>
      <c r="B37">
        <v>-3.57</v>
      </c>
      <c r="C37">
        <v>0.62</v>
      </c>
    </row>
    <row r="38" spans="1:3" x14ac:dyDescent="0.45">
      <c r="A38" t="s">
        <v>93</v>
      </c>
      <c r="B38">
        <v>-2.83</v>
      </c>
      <c r="C38">
        <v>0.4</v>
      </c>
    </row>
    <row r="39" spans="1:3" x14ac:dyDescent="0.45">
      <c r="A39" t="s">
        <v>67</v>
      </c>
      <c r="B39">
        <v>-2.57</v>
      </c>
      <c r="C39">
        <v>0.5</v>
      </c>
    </row>
    <row r="40" spans="1:3" x14ac:dyDescent="0.45">
      <c r="A40" t="s">
        <v>94</v>
      </c>
      <c r="B40">
        <v>-3.2</v>
      </c>
      <c r="C40">
        <v>0.35</v>
      </c>
    </row>
    <row r="41" spans="1:3" x14ac:dyDescent="0.45">
      <c r="A41" t="s">
        <v>95</v>
      </c>
      <c r="B41">
        <v>0.35</v>
      </c>
      <c r="C41">
        <v>0.24</v>
      </c>
    </row>
    <row r="42" spans="1:3" x14ac:dyDescent="0.45">
      <c r="A42" t="s">
        <v>96</v>
      </c>
      <c r="B42">
        <v>-1.47</v>
      </c>
      <c r="C42">
        <v>0.19</v>
      </c>
    </row>
    <row r="43" spans="1:3" x14ac:dyDescent="0.45">
      <c r="A43" t="s">
        <v>97</v>
      </c>
      <c r="B43">
        <v>-2.62</v>
      </c>
      <c r="C43">
        <v>0.48</v>
      </c>
    </row>
    <row r="44" spans="1:3" x14ac:dyDescent="0.45">
      <c r="A44" t="s">
        <v>98</v>
      </c>
      <c r="B44">
        <v>-1.99</v>
      </c>
      <c r="C44">
        <v>0.5</v>
      </c>
    </row>
    <row r="45" spans="1:3" x14ac:dyDescent="0.45">
      <c r="A45" t="s">
        <v>99</v>
      </c>
      <c r="B45">
        <v>-3.31</v>
      </c>
      <c r="C45">
        <v>0.53</v>
      </c>
    </row>
    <row r="46" spans="1:3" x14ac:dyDescent="0.45">
      <c r="A46" t="s">
        <v>100</v>
      </c>
      <c r="B46">
        <v>-2.38</v>
      </c>
      <c r="C46">
        <v>0.63</v>
      </c>
    </row>
    <row r="47" spans="1:3" x14ac:dyDescent="0.45">
      <c r="A47" t="s">
        <v>101</v>
      </c>
      <c r="B47">
        <v>-3.05</v>
      </c>
      <c r="C47">
        <v>0.76</v>
      </c>
    </row>
    <row r="48" spans="1:3" x14ac:dyDescent="0.45">
      <c r="A48" t="s">
        <v>102</v>
      </c>
      <c r="B48">
        <v>-1.26</v>
      </c>
      <c r="C48">
        <v>0.47</v>
      </c>
    </row>
    <row r="49" spans="1:3" x14ac:dyDescent="0.45">
      <c r="A49" t="s">
        <v>103</v>
      </c>
      <c r="B49">
        <v>-1.85</v>
      </c>
      <c r="C49">
        <v>0.47</v>
      </c>
    </row>
    <row r="50" spans="1:3" x14ac:dyDescent="0.45">
      <c r="A50" t="s">
        <v>68</v>
      </c>
      <c r="B50">
        <v>-2.5499999999999998</v>
      </c>
      <c r="C50">
        <v>0.43</v>
      </c>
    </row>
    <row r="51" spans="1:3" x14ac:dyDescent="0.45">
      <c r="A51" t="s">
        <v>104</v>
      </c>
      <c r="B51">
        <v>-1.9</v>
      </c>
      <c r="C51">
        <v>0.53</v>
      </c>
    </row>
    <row r="52" spans="1:3" x14ac:dyDescent="0.45">
      <c r="A52" t="s">
        <v>105</v>
      </c>
      <c r="B52">
        <v>-1.58</v>
      </c>
      <c r="C52">
        <v>0.43</v>
      </c>
    </row>
    <row r="53" spans="1:3" x14ac:dyDescent="0.45">
      <c r="A53" t="s">
        <v>106</v>
      </c>
      <c r="B53">
        <v>-2.39</v>
      </c>
      <c r="C53">
        <v>0.45</v>
      </c>
    </row>
    <row r="54" spans="1:3" x14ac:dyDescent="0.45">
      <c r="A54" t="s">
        <v>107</v>
      </c>
      <c r="B54">
        <v>-3.4699999999999998</v>
      </c>
      <c r="C54">
        <v>0.64</v>
      </c>
    </row>
    <row r="55" spans="1:3" x14ac:dyDescent="0.45">
      <c r="A55" t="s">
        <v>108</v>
      </c>
      <c r="B55">
        <v>-3.45</v>
      </c>
      <c r="C55">
        <v>0.62</v>
      </c>
    </row>
    <row r="56" spans="1:3" x14ac:dyDescent="0.45">
      <c r="A56" t="s">
        <v>109</v>
      </c>
      <c r="B56">
        <v>-3.14</v>
      </c>
      <c r="C56">
        <v>0.37</v>
      </c>
    </row>
    <row r="57" spans="1:3" x14ac:dyDescent="0.45">
      <c r="A57" t="s">
        <v>110</v>
      </c>
      <c r="B57">
        <v>-3.63</v>
      </c>
      <c r="C57">
        <v>0.59</v>
      </c>
    </row>
    <row r="58" spans="1:3" x14ac:dyDescent="0.45">
      <c r="A58" t="s">
        <v>111</v>
      </c>
      <c r="B58">
        <v>-1.66</v>
      </c>
      <c r="C58">
        <v>0.4</v>
      </c>
    </row>
    <row r="59" spans="1:3" x14ac:dyDescent="0.45">
      <c r="A59" t="s">
        <v>112</v>
      </c>
      <c r="B59">
        <v>-2.37</v>
      </c>
      <c r="C59">
        <v>0.39</v>
      </c>
    </row>
    <row r="60" spans="1:3" x14ac:dyDescent="0.45">
      <c r="A60" t="s">
        <v>113</v>
      </c>
      <c r="B60">
        <v>-2.92</v>
      </c>
      <c r="C60">
        <v>0.55000000000000004</v>
      </c>
    </row>
    <row r="61" spans="1:3" x14ac:dyDescent="0.45">
      <c r="A61" t="s">
        <v>69</v>
      </c>
      <c r="B61">
        <v>-3.14</v>
      </c>
      <c r="C61">
        <v>0.51</v>
      </c>
    </row>
    <row r="62" spans="1:3" x14ac:dyDescent="0.45">
      <c r="A62" t="s">
        <v>114</v>
      </c>
      <c r="B62">
        <v>-2.5099999999999998</v>
      </c>
      <c r="C62">
        <v>0.41</v>
      </c>
    </row>
    <row r="63" spans="1:3" x14ac:dyDescent="0.45">
      <c r="A63" t="s">
        <v>115</v>
      </c>
      <c r="B63">
        <v>-1.31</v>
      </c>
      <c r="C63">
        <v>0.44</v>
      </c>
    </row>
    <row r="64" spans="1:3" x14ac:dyDescent="0.45">
      <c r="A64" t="s">
        <v>116</v>
      </c>
      <c r="B64">
        <v>-1.7</v>
      </c>
      <c r="C64">
        <v>0.47</v>
      </c>
    </row>
    <row r="65" spans="1:3" x14ac:dyDescent="0.45">
      <c r="A65" t="s">
        <v>117</v>
      </c>
      <c r="B65">
        <v>-4.3900000000000006</v>
      </c>
      <c r="C65">
        <v>0.39</v>
      </c>
    </row>
    <row r="66" spans="1:3" x14ac:dyDescent="0.45">
      <c r="A66" t="s">
        <v>118</v>
      </c>
      <c r="B66">
        <v>-1.67</v>
      </c>
      <c r="C66">
        <v>0.53</v>
      </c>
    </row>
    <row r="67" spans="1:3" x14ac:dyDescent="0.45">
      <c r="A67" t="s">
        <v>119</v>
      </c>
      <c r="B67">
        <v>-0.64</v>
      </c>
      <c r="C67">
        <v>0.21</v>
      </c>
    </row>
    <row r="68" spans="1:3" x14ac:dyDescent="0.45">
      <c r="A68" t="s">
        <v>120</v>
      </c>
      <c r="B68">
        <v>-1.31</v>
      </c>
      <c r="C68">
        <v>0.49</v>
      </c>
    </row>
    <row r="69" spans="1:3" x14ac:dyDescent="0.45">
      <c r="A69" t="s">
        <v>121</v>
      </c>
      <c r="B69">
        <v>-0.22</v>
      </c>
      <c r="C69">
        <v>0.09</v>
      </c>
    </row>
    <row r="70" spans="1:3" x14ac:dyDescent="0.45">
      <c r="A70" t="s">
        <v>122</v>
      </c>
      <c r="B70">
        <v>-1.68</v>
      </c>
      <c r="C70">
        <v>0.42</v>
      </c>
    </row>
    <row r="71" spans="1:3" x14ac:dyDescent="0.45">
      <c r="A71" t="s">
        <v>123</v>
      </c>
      <c r="B71">
        <v>-3.51</v>
      </c>
      <c r="C71">
        <v>0.16</v>
      </c>
    </row>
    <row r="72" spans="1:3" x14ac:dyDescent="0.45">
      <c r="A72" t="s">
        <v>70</v>
      </c>
      <c r="B72">
        <v>-1.89</v>
      </c>
      <c r="C72">
        <v>0.3</v>
      </c>
    </row>
    <row r="73" spans="1:3" x14ac:dyDescent="0.45">
      <c r="A73" t="s">
        <v>124</v>
      </c>
      <c r="B73">
        <v>-3.73</v>
      </c>
      <c r="C73">
        <v>0.27</v>
      </c>
    </row>
    <row r="74" spans="1:3" x14ac:dyDescent="0.45">
      <c r="A74" t="s">
        <v>125</v>
      </c>
      <c r="B74">
        <v>-3.13</v>
      </c>
      <c r="C74">
        <v>0.53</v>
      </c>
    </row>
    <row r="75" spans="1:3" x14ac:dyDescent="0.45">
      <c r="A75" t="s">
        <v>126</v>
      </c>
      <c r="B75">
        <v>-2.69</v>
      </c>
      <c r="C75">
        <v>0.42</v>
      </c>
    </row>
    <row r="76" spans="1:3" x14ac:dyDescent="0.45">
      <c r="A76" t="s">
        <v>127</v>
      </c>
      <c r="B76">
        <v>-3.66</v>
      </c>
      <c r="C76">
        <v>0.41</v>
      </c>
    </row>
    <row r="77" spans="1:3" x14ac:dyDescent="0.45">
      <c r="A77" t="s">
        <v>128</v>
      </c>
      <c r="B77">
        <v>-2.5499999999999998</v>
      </c>
      <c r="C77">
        <v>0.75</v>
      </c>
    </row>
    <row r="78" spans="1:3" x14ac:dyDescent="0.45">
      <c r="A78" t="s">
        <v>129</v>
      </c>
      <c r="B78">
        <v>-3.19</v>
      </c>
      <c r="C78">
        <v>0.65</v>
      </c>
    </row>
    <row r="79" spans="1:3" x14ac:dyDescent="0.45">
      <c r="A79" t="s">
        <v>130</v>
      </c>
      <c r="B79">
        <v>-3.03</v>
      </c>
      <c r="C79">
        <v>0.57999999999999996</v>
      </c>
    </row>
    <row r="80" spans="1:3" x14ac:dyDescent="0.45">
      <c r="A80" t="s">
        <v>131</v>
      </c>
      <c r="B80">
        <v>-1.62</v>
      </c>
      <c r="C80">
        <v>0.64</v>
      </c>
    </row>
    <row r="81" spans="1:3" x14ac:dyDescent="0.45">
      <c r="A81" t="s">
        <v>132</v>
      </c>
      <c r="B81">
        <v>-1.53</v>
      </c>
      <c r="C81">
        <v>0.2</v>
      </c>
    </row>
    <row r="82" spans="1:3" x14ac:dyDescent="0.45">
      <c r="A82" t="s">
        <v>133</v>
      </c>
      <c r="B82">
        <v>-2.1</v>
      </c>
      <c r="C82">
        <v>0.48</v>
      </c>
    </row>
    <row r="83" spans="1:3" x14ac:dyDescent="0.45">
      <c r="A83" t="s">
        <v>71</v>
      </c>
      <c r="B83">
        <v>-1.26</v>
      </c>
      <c r="C83">
        <v>0.63</v>
      </c>
    </row>
    <row r="84" spans="1:3" x14ac:dyDescent="0.45">
      <c r="A84" t="s">
        <v>134</v>
      </c>
      <c r="B84">
        <v>-2.33</v>
      </c>
      <c r="C84">
        <v>0.67</v>
      </c>
    </row>
    <row r="85" spans="1:3" x14ac:dyDescent="0.45">
      <c r="A85" t="s">
        <v>135</v>
      </c>
      <c r="B85">
        <v>-1.04</v>
      </c>
      <c r="C85">
        <v>0.56000000000000005</v>
      </c>
    </row>
    <row r="86" spans="1:3" x14ac:dyDescent="0.45">
      <c r="A86" t="s">
        <v>136</v>
      </c>
      <c r="B86">
        <v>-2.58</v>
      </c>
      <c r="C86">
        <v>0.37</v>
      </c>
    </row>
    <row r="87" spans="1:3" x14ac:dyDescent="0.45">
      <c r="A87" t="s">
        <v>137</v>
      </c>
      <c r="B87">
        <v>-2.62</v>
      </c>
      <c r="C87">
        <v>0.78</v>
      </c>
    </row>
    <row r="88" spans="1:3" x14ac:dyDescent="0.45">
      <c r="A88" t="s">
        <v>138</v>
      </c>
      <c r="B88">
        <v>-4.1399999999999997</v>
      </c>
      <c r="C88">
        <v>0.28999999999999998</v>
      </c>
    </row>
    <row r="89" spans="1:3" x14ac:dyDescent="0.45">
      <c r="A89" t="s">
        <v>139</v>
      </c>
      <c r="B89">
        <v>-1.55</v>
      </c>
      <c r="C89">
        <v>0.35</v>
      </c>
    </row>
    <row r="90" spans="1:3" x14ac:dyDescent="0.45">
      <c r="A90" t="s">
        <v>140</v>
      </c>
      <c r="B90">
        <v>-4.25</v>
      </c>
      <c r="C90">
        <v>0.46</v>
      </c>
    </row>
    <row r="91" spans="1:3" x14ac:dyDescent="0.45">
      <c r="A91" t="s">
        <v>141</v>
      </c>
      <c r="B91">
        <v>-1.42</v>
      </c>
      <c r="C91">
        <v>0.21</v>
      </c>
    </row>
    <row r="92" spans="1:3" x14ac:dyDescent="0.45">
      <c r="A92" t="s">
        <v>142</v>
      </c>
      <c r="B92">
        <v>-6.63</v>
      </c>
      <c r="C92">
        <v>0.42</v>
      </c>
    </row>
    <row r="93" spans="1:3" x14ac:dyDescent="0.45">
      <c r="A93" t="s">
        <v>143</v>
      </c>
      <c r="B93">
        <v>-2.2200000000000002</v>
      </c>
      <c r="C93">
        <v>0.5</v>
      </c>
    </row>
    <row r="94" spans="1:3" x14ac:dyDescent="0.45">
      <c r="A94" t="s">
        <v>72</v>
      </c>
      <c r="B94">
        <v>-2.1800000000000002</v>
      </c>
      <c r="C94">
        <v>0.45</v>
      </c>
    </row>
    <row r="95" spans="1:3" x14ac:dyDescent="0.45">
      <c r="A95" t="s">
        <v>144</v>
      </c>
      <c r="B95">
        <v>-2.7</v>
      </c>
      <c r="C95">
        <v>0.39</v>
      </c>
    </row>
    <row r="96" spans="1:3" x14ac:dyDescent="0.45">
      <c r="A96" t="s">
        <v>145</v>
      </c>
      <c r="B96">
        <v>-1.1599999999999999</v>
      </c>
      <c r="C96">
        <v>0.32</v>
      </c>
    </row>
    <row r="97" spans="1:3" x14ac:dyDescent="0.45">
      <c r="A97" t="s">
        <v>146</v>
      </c>
      <c r="B97">
        <v>-2.5499999999999998</v>
      </c>
      <c r="C97">
        <v>0.46</v>
      </c>
    </row>
    <row r="98" spans="1:3" x14ac:dyDescent="0.45">
      <c r="A98" t="s">
        <v>147</v>
      </c>
      <c r="B98">
        <v>-1.68</v>
      </c>
      <c r="C98">
        <v>0.53</v>
      </c>
    </row>
    <row r="99" spans="1:3" x14ac:dyDescent="0.45">
      <c r="A99" t="s">
        <v>148</v>
      </c>
      <c r="B99">
        <v>-2.61</v>
      </c>
      <c r="C99">
        <v>0.5</v>
      </c>
    </row>
    <row r="100" spans="1:3" x14ac:dyDescent="0.45">
      <c r="A100" t="s">
        <v>149</v>
      </c>
      <c r="B100">
        <v>-0.14000000000000001</v>
      </c>
      <c r="C100">
        <v>0.32</v>
      </c>
    </row>
    <row r="101" spans="1:3" x14ac:dyDescent="0.45">
      <c r="A101" t="s">
        <v>150</v>
      </c>
      <c r="B101">
        <v>-2.71</v>
      </c>
      <c r="C101">
        <v>0.3</v>
      </c>
    </row>
    <row r="102" spans="1:3" x14ac:dyDescent="0.45">
      <c r="A102" t="s">
        <v>73</v>
      </c>
      <c r="B102">
        <v>-2.12</v>
      </c>
      <c r="C102">
        <v>0.38</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62E7C-92CF-4632-82B3-998B71B0EA8A}">
  <dimension ref="A3:C105"/>
  <sheetViews>
    <sheetView topLeftCell="A82" workbookViewId="0">
      <selection activeCell="A3" sqref="A3:C104"/>
    </sheetView>
  </sheetViews>
  <sheetFormatPr defaultRowHeight="14.25" x14ac:dyDescent="0.45"/>
  <cols>
    <col min="1" max="1" width="12.06640625" bestFit="1" customWidth="1"/>
    <col min="2" max="2" width="23.46484375" bestFit="1" customWidth="1"/>
    <col min="3" max="3" width="16.73046875" bestFit="1" customWidth="1"/>
  </cols>
  <sheetData>
    <row r="3" spans="1:3" x14ac:dyDescent="0.45">
      <c r="A3" s="19" t="s">
        <v>175</v>
      </c>
      <c r="B3" t="s">
        <v>178</v>
      </c>
      <c r="C3" t="s">
        <v>177</v>
      </c>
    </row>
    <row r="4" spans="1:3" x14ac:dyDescent="0.45">
      <c r="A4" s="20" t="s">
        <v>65</v>
      </c>
      <c r="B4" s="21">
        <v>0.82</v>
      </c>
      <c r="C4" s="21">
        <v>-3.55</v>
      </c>
    </row>
    <row r="5" spans="1:3" x14ac:dyDescent="0.45">
      <c r="A5" s="20" t="s">
        <v>74</v>
      </c>
      <c r="B5" s="21">
        <v>0.65</v>
      </c>
      <c r="C5" s="21">
        <v>-2.4500000000000002</v>
      </c>
    </row>
    <row r="6" spans="1:3" x14ac:dyDescent="0.45">
      <c r="A6" s="20" t="s">
        <v>151</v>
      </c>
      <c r="B6" s="21">
        <v>0.62</v>
      </c>
      <c r="C6" s="21">
        <v>-4.08</v>
      </c>
    </row>
    <row r="7" spans="1:3" x14ac:dyDescent="0.45">
      <c r="A7" s="20" t="s">
        <v>152</v>
      </c>
      <c r="B7" s="21">
        <v>1</v>
      </c>
      <c r="C7" s="21">
        <v>-7.96</v>
      </c>
    </row>
    <row r="8" spans="1:3" x14ac:dyDescent="0.45">
      <c r="A8" s="20" t="s">
        <v>153</v>
      </c>
      <c r="B8" s="21">
        <v>0.85</v>
      </c>
      <c r="C8" s="21">
        <v>-3.74</v>
      </c>
    </row>
    <row r="9" spans="1:3" x14ac:dyDescent="0.45">
      <c r="A9" s="20" t="s">
        <v>154</v>
      </c>
      <c r="B9" s="21">
        <v>1.03</v>
      </c>
      <c r="C9" s="21">
        <v>-4.09</v>
      </c>
    </row>
    <row r="10" spans="1:3" x14ac:dyDescent="0.45">
      <c r="A10" s="20" t="s">
        <v>155</v>
      </c>
      <c r="B10" s="21">
        <v>0.88</v>
      </c>
      <c r="C10" s="21">
        <v>-3.28</v>
      </c>
    </row>
    <row r="11" spans="1:3" x14ac:dyDescent="0.45">
      <c r="A11" s="20" t="s">
        <v>156</v>
      </c>
      <c r="B11" s="21">
        <v>0.49</v>
      </c>
      <c r="C11" s="21">
        <v>-3.23</v>
      </c>
    </row>
    <row r="12" spans="1:3" x14ac:dyDescent="0.45">
      <c r="A12" s="20" t="s">
        <v>75</v>
      </c>
      <c r="B12" s="21">
        <v>0.15</v>
      </c>
      <c r="C12" s="21">
        <v>-2.13</v>
      </c>
    </row>
    <row r="13" spans="1:3" x14ac:dyDescent="0.45">
      <c r="A13" s="20" t="s">
        <v>157</v>
      </c>
      <c r="B13" s="21">
        <v>0.54</v>
      </c>
      <c r="C13" s="21">
        <v>-1.68</v>
      </c>
    </row>
    <row r="14" spans="1:3" x14ac:dyDescent="0.45">
      <c r="A14" s="20" t="s">
        <v>158</v>
      </c>
      <c r="B14" s="21">
        <v>0.86</v>
      </c>
      <c r="C14" s="21">
        <v>-5</v>
      </c>
    </row>
    <row r="15" spans="1:3" x14ac:dyDescent="0.45">
      <c r="A15" s="20" t="s">
        <v>159</v>
      </c>
      <c r="B15" s="21">
        <v>0.76</v>
      </c>
      <c r="C15" s="21">
        <v>-4.08</v>
      </c>
    </row>
    <row r="16" spans="1:3" x14ac:dyDescent="0.45">
      <c r="A16" s="20" t="s">
        <v>160</v>
      </c>
      <c r="B16" s="21">
        <v>0.34</v>
      </c>
      <c r="C16" s="21">
        <v>-1.7</v>
      </c>
    </row>
    <row r="17" spans="1:3" x14ac:dyDescent="0.45">
      <c r="A17" s="20" t="s">
        <v>161</v>
      </c>
      <c r="B17" s="21">
        <v>0.33</v>
      </c>
      <c r="C17" s="21">
        <v>-1.68</v>
      </c>
    </row>
    <row r="18" spans="1:3" x14ac:dyDescent="0.45">
      <c r="A18" s="20" t="s">
        <v>162</v>
      </c>
      <c r="B18" s="21">
        <v>1.04</v>
      </c>
      <c r="C18" s="21">
        <v>-5</v>
      </c>
    </row>
    <row r="19" spans="1:3" x14ac:dyDescent="0.45">
      <c r="A19" s="20" t="s">
        <v>163</v>
      </c>
      <c r="B19" s="21">
        <v>0.75</v>
      </c>
      <c r="C19" s="21">
        <v>-8.86</v>
      </c>
    </row>
    <row r="20" spans="1:3" x14ac:dyDescent="0.45">
      <c r="A20" s="20" t="s">
        <v>164</v>
      </c>
      <c r="B20" s="21">
        <v>0.72</v>
      </c>
      <c r="C20" s="21">
        <v>-5</v>
      </c>
    </row>
    <row r="21" spans="1:3" x14ac:dyDescent="0.45">
      <c r="A21" s="20" t="s">
        <v>165</v>
      </c>
      <c r="B21" s="21">
        <v>0.99</v>
      </c>
      <c r="C21" s="21">
        <v>-3.47</v>
      </c>
    </row>
    <row r="22" spans="1:3" x14ac:dyDescent="0.45">
      <c r="A22" s="20" t="s">
        <v>76</v>
      </c>
      <c r="B22" s="21">
        <v>0.7</v>
      </c>
      <c r="C22" s="21">
        <v>-2.52</v>
      </c>
    </row>
    <row r="23" spans="1:3" x14ac:dyDescent="0.45">
      <c r="A23" s="20" t="s">
        <v>77</v>
      </c>
      <c r="B23" s="21">
        <v>0.79</v>
      </c>
      <c r="C23" s="21">
        <v>-5</v>
      </c>
    </row>
    <row r="24" spans="1:3" x14ac:dyDescent="0.45">
      <c r="A24" s="20" t="s">
        <v>78</v>
      </c>
      <c r="B24" s="21">
        <v>0.17</v>
      </c>
      <c r="C24" s="21">
        <v>-2.4900000000000002</v>
      </c>
    </row>
    <row r="25" spans="1:3" x14ac:dyDescent="0.45">
      <c r="A25" s="20" t="s">
        <v>79</v>
      </c>
      <c r="B25" s="21">
        <v>0.5</v>
      </c>
      <c r="C25" s="21">
        <v>-2.52</v>
      </c>
    </row>
    <row r="26" spans="1:3" x14ac:dyDescent="0.45">
      <c r="A26" s="20" t="s">
        <v>80</v>
      </c>
      <c r="B26" s="21">
        <v>0.49</v>
      </c>
      <c r="C26" s="21">
        <v>-2.5499999999999998</v>
      </c>
    </row>
    <row r="27" spans="1:3" x14ac:dyDescent="0.45">
      <c r="A27" s="20" t="s">
        <v>81</v>
      </c>
      <c r="B27" s="21">
        <v>0.47</v>
      </c>
      <c r="C27" s="21">
        <v>-2.8</v>
      </c>
    </row>
    <row r="28" spans="1:3" x14ac:dyDescent="0.45">
      <c r="A28" s="20" t="s">
        <v>82</v>
      </c>
      <c r="B28" s="21">
        <v>0.33</v>
      </c>
      <c r="C28" s="21">
        <v>-1.43</v>
      </c>
    </row>
    <row r="29" spans="1:3" x14ac:dyDescent="0.45">
      <c r="A29" s="20" t="s">
        <v>83</v>
      </c>
      <c r="B29" s="21">
        <v>0.44</v>
      </c>
      <c r="C29" s="21">
        <v>-2.2200000000000002</v>
      </c>
    </row>
    <row r="30" spans="1:3" x14ac:dyDescent="0.45">
      <c r="A30" s="20" t="s">
        <v>66</v>
      </c>
      <c r="B30" s="21">
        <v>0.41</v>
      </c>
      <c r="C30" s="21">
        <v>-2.95</v>
      </c>
    </row>
    <row r="31" spans="1:3" x14ac:dyDescent="0.45">
      <c r="A31" s="20" t="s">
        <v>84</v>
      </c>
      <c r="B31" s="21">
        <v>0.41</v>
      </c>
      <c r="C31" s="21">
        <v>-3.08</v>
      </c>
    </row>
    <row r="32" spans="1:3" x14ac:dyDescent="0.45">
      <c r="A32" s="20" t="s">
        <v>85</v>
      </c>
      <c r="B32" s="21">
        <v>0.46</v>
      </c>
      <c r="C32" s="21">
        <v>-3.38</v>
      </c>
    </row>
    <row r="33" spans="1:3" x14ac:dyDescent="0.45">
      <c r="A33" s="20" t="s">
        <v>86</v>
      </c>
      <c r="B33" s="21">
        <v>0.25</v>
      </c>
      <c r="C33" s="21">
        <v>-3.07</v>
      </c>
    </row>
    <row r="34" spans="1:3" x14ac:dyDescent="0.45">
      <c r="A34" s="20" t="s">
        <v>87</v>
      </c>
      <c r="B34" s="21">
        <v>0.45</v>
      </c>
      <c r="C34" s="21">
        <v>-1.56</v>
      </c>
    </row>
    <row r="35" spans="1:3" x14ac:dyDescent="0.45">
      <c r="A35" s="20" t="s">
        <v>88</v>
      </c>
      <c r="B35" s="21">
        <v>0</v>
      </c>
      <c r="C35" s="21">
        <v>-1.43</v>
      </c>
    </row>
    <row r="36" spans="1:3" x14ac:dyDescent="0.45">
      <c r="A36" s="20" t="s">
        <v>89</v>
      </c>
      <c r="B36" s="21">
        <v>0.35</v>
      </c>
      <c r="C36" s="21">
        <v>-1.77</v>
      </c>
    </row>
    <row r="37" spans="1:3" x14ac:dyDescent="0.45">
      <c r="A37" s="20" t="s">
        <v>90</v>
      </c>
      <c r="B37" s="21">
        <v>0.4</v>
      </c>
      <c r="C37" s="21">
        <v>-2.4500000000000002</v>
      </c>
    </row>
    <row r="38" spans="1:3" x14ac:dyDescent="0.45">
      <c r="A38" s="20" t="s">
        <v>91</v>
      </c>
      <c r="B38" s="21">
        <v>0.43</v>
      </c>
      <c r="C38" s="21">
        <v>-2.57</v>
      </c>
    </row>
    <row r="39" spans="1:3" x14ac:dyDescent="0.45">
      <c r="A39" s="20" t="s">
        <v>92</v>
      </c>
      <c r="B39" s="21">
        <v>0.62</v>
      </c>
      <c r="C39" s="21">
        <v>-3.57</v>
      </c>
    </row>
    <row r="40" spans="1:3" x14ac:dyDescent="0.45">
      <c r="A40" s="20" t="s">
        <v>93</v>
      </c>
      <c r="B40" s="21">
        <v>0.4</v>
      </c>
      <c r="C40" s="21">
        <v>-2.83</v>
      </c>
    </row>
    <row r="41" spans="1:3" x14ac:dyDescent="0.45">
      <c r="A41" s="20" t="s">
        <v>67</v>
      </c>
      <c r="B41" s="21">
        <v>0.5</v>
      </c>
      <c r="C41" s="21">
        <v>-2.57</v>
      </c>
    </row>
    <row r="42" spans="1:3" x14ac:dyDescent="0.45">
      <c r="A42" s="20" t="s">
        <v>94</v>
      </c>
      <c r="B42" s="21">
        <v>0.35</v>
      </c>
      <c r="C42" s="21">
        <v>-3.2</v>
      </c>
    </row>
    <row r="43" spans="1:3" x14ac:dyDescent="0.45">
      <c r="A43" s="20" t="s">
        <v>95</v>
      </c>
      <c r="B43" s="21">
        <v>0.24</v>
      </c>
      <c r="C43" s="21">
        <v>0.35</v>
      </c>
    </row>
    <row r="44" spans="1:3" x14ac:dyDescent="0.45">
      <c r="A44" s="20" t="s">
        <v>96</v>
      </c>
      <c r="B44" s="21">
        <v>0.19</v>
      </c>
      <c r="C44" s="21">
        <v>-1.47</v>
      </c>
    </row>
    <row r="45" spans="1:3" x14ac:dyDescent="0.45">
      <c r="A45" s="20" t="s">
        <v>97</v>
      </c>
      <c r="B45" s="21">
        <v>0.48</v>
      </c>
      <c r="C45" s="21">
        <v>-2.62</v>
      </c>
    </row>
    <row r="46" spans="1:3" x14ac:dyDescent="0.45">
      <c r="A46" s="20" t="s">
        <v>98</v>
      </c>
      <c r="B46" s="21">
        <v>0.5</v>
      </c>
      <c r="C46" s="21">
        <v>-1.99</v>
      </c>
    </row>
    <row r="47" spans="1:3" x14ac:dyDescent="0.45">
      <c r="A47" s="20" t="s">
        <v>99</v>
      </c>
      <c r="B47" s="21">
        <v>0.53</v>
      </c>
      <c r="C47" s="21">
        <v>-3.31</v>
      </c>
    </row>
    <row r="48" spans="1:3" x14ac:dyDescent="0.45">
      <c r="A48" s="20" t="s">
        <v>100</v>
      </c>
      <c r="B48" s="21">
        <v>0.63</v>
      </c>
      <c r="C48" s="21">
        <v>-2.38</v>
      </c>
    </row>
    <row r="49" spans="1:3" x14ac:dyDescent="0.45">
      <c r="A49" s="20" t="s">
        <v>101</v>
      </c>
      <c r="B49" s="21">
        <v>0.76</v>
      </c>
      <c r="C49" s="21">
        <v>-3.05</v>
      </c>
    </row>
    <row r="50" spans="1:3" x14ac:dyDescent="0.45">
      <c r="A50" s="20" t="s">
        <v>102</v>
      </c>
      <c r="B50" s="21">
        <v>0.47</v>
      </c>
      <c r="C50" s="21">
        <v>-1.26</v>
      </c>
    </row>
    <row r="51" spans="1:3" x14ac:dyDescent="0.45">
      <c r="A51" s="20" t="s">
        <v>103</v>
      </c>
      <c r="B51" s="21">
        <v>0.47</v>
      </c>
      <c r="C51" s="21">
        <v>-1.85</v>
      </c>
    </row>
    <row r="52" spans="1:3" x14ac:dyDescent="0.45">
      <c r="A52" s="20" t="s">
        <v>68</v>
      </c>
      <c r="B52" s="21">
        <v>0.43</v>
      </c>
      <c r="C52" s="21">
        <v>-2.5499999999999998</v>
      </c>
    </row>
    <row r="53" spans="1:3" x14ac:dyDescent="0.45">
      <c r="A53" s="20" t="s">
        <v>104</v>
      </c>
      <c r="B53" s="21">
        <v>0.53</v>
      </c>
      <c r="C53" s="21">
        <v>-1.9</v>
      </c>
    </row>
    <row r="54" spans="1:3" x14ac:dyDescent="0.45">
      <c r="A54" s="20" t="s">
        <v>105</v>
      </c>
      <c r="B54" s="21">
        <v>0.43</v>
      </c>
      <c r="C54" s="21">
        <v>-1.58</v>
      </c>
    </row>
    <row r="55" spans="1:3" x14ac:dyDescent="0.45">
      <c r="A55" s="20" t="s">
        <v>106</v>
      </c>
      <c r="B55" s="21">
        <v>0.45</v>
      </c>
      <c r="C55" s="21">
        <v>-2.39</v>
      </c>
    </row>
    <row r="56" spans="1:3" x14ac:dyDescent="0.45">
      <c r="A56" s="20" t="s">
        <v>107</v>
      </c>
      <c r="B56" s="21">
        <v>0.64</v>
      </c>
      <c r="C56" s="21">
        <v>-3.4699999999999998</v>
      </c>
    </row>
    <row r="57" spans="1:3" x14ac:dyDescent="0.45">
      <c r="A57" s="20" t="s">
        <v>108</v>
      </c>
      <c r="B57" s="21">
        <v>0.62</v>
      </c>
      <c r="C57" s="21">
        <v>-3.45</v>
      </c>
    </row>
    <row r="58" spans="1:3" x14ac:dyDescent="0.45">
      <c r="A58" s="20" t="s">
        <v>109</v>
      </c>
      <c r="B58" s="21">
        <v>0.37</v>
      </c>
      <c r="C58" s="21">
        <v>-3.14</v>
      </c>
    </row>
    <row r="59" spans="1:3" x14ac:dyDescent="0.45">
      <c r="A59" s="20" t="s">
        <v>110</v>
      </c>
      <c r="B59" s="21">
        <v>0.59</v>
      </c>
      <c r="C59" s="21">
        <v>-3.63</v>
      </c>
    </row>
    <row r="60" spans="1:3" x14ac:dyDescent="0.45">
      <c r="A60" s="20" t="s">
        <v>111</v>
      </c>
      <c r="B60" s="21">
        <v>0.4</v>
      </c>
      <c r="C60" s="21">
        <v>-1.66</v>
      </c>
    </row>
    <row r="61" spans="1:3" x14ac:dyDescent="0.45">
      <c r="A61" s="20" t="s">
        <v>112</v>
      </c>
      <c r="B61" s="21">
        <v>0.39</v>
      </c>
      <c r="C61" s="21">
        <v>-2.37</v>
      </c>
    </row>
    <row r="62" spans="1:3" x14ac:dyDescent="0.45">
      <c r="A62" s="20" t="s">
        <v>113</v>
      </c>
      <c r="B62" s="21">
        <v>0.55000000000000004</v>
      </c>
      <c r="C62" s="21">
        <v>-2.92</v>
      </c>
    </row>
    <row r="63" spans="1:3" x14ac:dyDescent="0.45">
      <c r="A63" s="20" t="s">
        <v>69</v>
      </c>
      <c r="B63" s="21">
        <v>0.51</v>
      </c>
      <c r="C63" s="21">
        <v>-3.14</v>
      </c>
    </row>
    <row r="64" spans="1:3" x14ac:dyDescent="0.45">
      <c r="A64" s="20" t="s">
        <v>114</v>
      </c>
      <c r="B64" s="21">
        <v>0.41</v>
      </c>
      <c r="C64" s="21">
        <v>-2.5099999999999998</v>
      </c>
    </row>
    <row r="65" spans="1:3" x14ac:dyDescent="0.45">
      <c r="A65" s="20" t="s">
        <v>115</v>
      </c>
      <c r="B65" s="21">
        <v>0.44</v>
      </c>
      <c r="C65" s="21">
        <v>-1.31</v>
      </c>
    </row>
    <row r="66" spans="1:3" x14ac:dyDescent="0.45">
      <c r="A66" s="20" t="s">
        <v>116</v>
      </c>
      <c r="B66" s="21">
        <v>0.47</v>
      </c>
      <c r="C66" s="21">
        <v>-1.7</v>
      </c>
    </row>
    <row r="67" spans="1:3" x14ac:dyDescent="0.45">
      <c r="A67" s="20" t="s">
        <v>117</v>
      </c>
      <c r="B67" s="21">
        <v>0.39</v>
      </c>
      <c r="C67" s="21">
        <v>-4.3900000000000006</v>
      </c>
    </row>
    <row r="68" spans="1:3" x14ac:dyDescent="0.45">
      <c r="A68" s="20" t="s">
        <v>118</v>
      </c>
      <c r="B68" s="21">
        <v>0.53</v>
      </c>
      <c r="C68" s="21">
        <v>-1.67</v>
      </c>
    </row>
    <row r="69" spans="1:3" x14ac:dyDescent="0.45">
      <c r="A69" s="20" t="s">
        <v>119</v>
      </c>
      <c r="B69" s="21">
        <v>0.21</v>
      </c>
      <c r="C69" s="21">
        <v>-0.64</v>
      </c>
    </row>
    <row r="70" spans="1:3" x14ac:dyDescent="0.45">
      <c r="A70" s="20" t="s">
        <v>120</v>
      </c>
      <c r="B70" s="21">
        <v>0.49</v>
      </c>
      <c r="C70" s="21">
        <v>-1.31</v>
      </c>
    </row>
    <row r="71" spans="1:3" x14ac:dyDescent="0.45">
      <c r="A71" s="20" t="s">
        <v>121</v>
      </c>
      <c r="B71" s="21">
        <v>0.09</v>
      </c>
      <c r="C71" s="21">
        <v>-0.22</v>
      </c>
    </row>
    <row r="72" spans="1:3" x14ac:dyDescent="0.45">
      <c r="A72" s="20" t="s">
        <v>122</v>
      </c>
      <c r="B72" s="21">
        <v>0.42</v>
      </c>
      <c r="C72" s="21">
        <v>-1.68</v>
      </c>
    </row>
    <row r="73" spans="1:3" x14ac:dyDescent="0.45">
      <c r="A73" s="20" t="s">
        <v>123</v>
      </c>
      <c r="B73" s="21">
        <v>0.16</v>
      </c>
      <c r="C73" s="21">
        <v>-3.51</v>
      </c>
    </row>
    <row r="74" spans="1:3" x14ac:dyDescent="0.45">
      <c r="A74" s="20" t="s">
        <v>70</v>
      </c>
      <c r="B74" s="21">
        <v>0.3</v>
      </c>
      <c r="C74" s="21">
        <v>-1.89</v>
      </c>
    </row>
    <row r="75" spans="1:3" x14ac:dyDescent="0.45">
      <c r="A75" s="20" t="s">
        <v>124</v>
      </c>
      <c r="B75" s="21">
        <v>0.27</v>
      </c>
      <c r="C75" s="21">
        <v>-3.73</v>
      </c>
    </row>
    <row r="76" spans="1:3" x14ac:dyDescent="0.45">
      <c r="A76" s="20" t="s">
        <v>125</v>
      </c>
      <c r="B76" s="21">
        <v>0.53</v>
      </c>
      <c r="C76" s="21">
        <v>-3.13</v>
      </c>
    </row>
    <row r="77" spans="1:3" x14ac:dyDescent="0.45">
      <c r="A77" s="20" t="s">
        <v>126</v>
      </c>
      <c r="B77" s="21">
        <v>0.42</v>
      </c>
      <c r="C77" s="21">
        <v>-2.69</v>
      </c>
    </row>
    <row r="78" spans="1:3" x14ac:dyDescent="0.45">
      <c r="A78" s="20" t="s">
        <v>127</v>
      </c>
      <c r="B78" s="21">
        <v>0.41</v>
      </c>
      <c r="C78" s="21">
        <v>-3.66</v>
      </c>
    </row>
    <row r="79" spans="1:3" x14ac:dyDescent="0.45">
      <c r="A79" s="20" t="s">
        <v>128</v>
      </c>
      <c r="B79" s="21">
        <v>0.75</v>
      </c>
      <c r="C79" s="21">
        <v>-2.5499999999999998</v>
      </c>
    </row>
    <row r="80" spans="1:3" x14ac:dyDescent="0.45">
      <c r="A80" s="20" t="s">
        <v>129</v>
      </c>
      <c r="B80" s="21">
        <v>0.65</v>
      </c>
      <c r="C80" s="21">
        <v>-3.19</v>
      </c>
    </row>
    <row r="81" spans="1:3" x14ac:dyDescent="0.45">
      <c r="A81" s="20" t="s">
        <v>130</v>
      </c>
      <c r="B81" s="21">
        <v>0.57999999999999996</v>
      </c>
      <c r="C81" s="21">
        <v>-3.03</v>
      </c>
    </row>
    <row r="82" spans="1:3" x14ac:dyDescent="0.45">
      <c r="A82" s="20" t="s">
        <v>131</v>
      </c>
      <c r="B82" s="21">
        <v>0.64</v>
      </c>
      <c r="C82" s="21">
        <v>-1.62</v>
      </c>
    </row>
    <row r="83" spans="1:3" x14ac:dyDescent="0.45">
      <c r="A83" s="20" t="s">
        <v>132</v>
      </c>
      <c r="B83" s="21">
        <v>0.2</v>
      </c>
      <c r="C83" s="21">
        <v>-1.53</v>
      </c>
    </row>
    <row r="84" spans="1:3" x14ac:dyDescent="0.45">
      <c r="A84" s="20" t="s">
        <v>133</v>
      </c>
      <c r="B84" s="21">
        <v>0.48</v>
      </c>
      <c r="C84" s="21">
        <v>-2.1</v>
      </c>
    </row>
    <row r="85" spans="1:3" x14ac:dyDescent="0.45">
      <c r="A85" s="20" t="s">
        <v>71</v>
      </c>
      <c r="B85" s="21">
        <v>0.63</v>
      </c>
      <c r="C85" s="21">
        <v>-1.26</v>
      </c>
    </row>
    <row r="86" spans="1:3" x14ac:dyDescent="0.45">
      <c r="A86" s="20" t="s">
        <v>134</v>
      </c>
      <c r="B86" s="21">
        <v>0.67</v>
      </c>
      <c r="C86" s="21">
        <v>-2.33</v>
      </c>
    </row>
    <row r="87" spans="1:3" x14ac:dyDescent="0.45">
      <c r="A87" s="20" t="s">
        <v>135</v>
      </c>
      <c r="B87" s="21">
        <v>0.56000000000000005</v>
      </c>
      <c r="C87" s="21">
        <v>-1.04</v>
      </c>
    </row>
    <row r="88" spans="1:3" x14ac:dyDescent="0.45">
      <c r="A88" s="20" t="s">
        <v>136</v>
      </c>
      <c r="B88" s="21">
        <v>0.37</v>
      </c>
      <c r="C88" s="21">
        <v>-2.58</v>
      </c>
    </row>
    <row r="89" spans="1:3" x14ac:dyDescent="0.45">
      <c r="A89" s="20" t="s">
        <v>137</v>
      </c>
      <c r="B89" s="21">
        <v>0.78</v>
      </c>
      <c r="C89" s="21">
        <v>-2.62</v>
      </c>
    </row>
    <row r="90" spans="1:3" x14ac:dyDescent="0.45">
      <c r="A90" s="20" t="s">
        <v>138</v>
      </c>
      <c r="B90" s="21">
        <v>0.28999999999999998</v>
      </c>
      <c r="C90" s="21">
        <v>-4.1399999999999997</v>
      </c>
    </row>
    <row r="91" spans="1:3" x14ac:dyDescent="0.45">
      <c r="A91" s="20" t="s">
        <v>139</v>
      </c>
      <c r="B91" s="21">
        <v>0.35</v>
      </c>
      <c r="C91" s="21">
        <v>-1.55</v>
      </c>
    </row>
    <row r="92" spans="1:3" x14ac:dyDescent="0.45">
      <c r="A92" s="20" t="s">
        <v>140</v>
      </c>
      <c r="B92" s="21">
        <v>0.46</v>
      </c>
      <c r="C92" s="21">
        <v>-4.25</v>
      </c>
    </row>
    <row r="93" spans="1:3" x14ac:dyDescent="0.45">
      <c r="A93" s="20" t="s">
        <v>141</v>
      </c>
      <c r="B93" s="21">
        <v>0.21</v>
      </c>
      <c r="C93" s="21">
        <v>-1.42</v>
      </c>
    </row>
    <row r="94" spans="1:3" x14ac:dyDescent="0.45">
      <c r="A94" s="20" t="s">
        <v>142</v>
      </c>
      <c r="B94" s="21">
        <v>0.42</v>
      </c>
      <c r="C94" s="21">
        <v>-6.63</v>
      </c>
    </row>
    <row r="95" spans="1:3" x14ac:dyDescent="0.45">
      <c r="A95" s="20" t="s">
        <v>143</v>
      </c>
      <c r="B95" s="21">
        <v>0.5</v>
      </c>
      <c r="C95" s="21">
        <v>-2.2200000000000002</v>
      </c>
    </row>
    <row r="96" spans="1:3" x14ac:dyDescent="0.45">
      <c r="A96" s="20" t="s">
        <v>72</v>
      </c>
      <c r="B96" s="21">
        <v>0.45</v>
      </c>
      <c r="C96" s="21">
        <v>-2.1800000000000002</v>
      </c>
    </row>
    <row r="97" spans="1:3" x14ac:dyDescent="0.45">
      <c r="A97" s="20" t="s">
        <v>144</v>
      </c>
      <c r="B97" s="21">
        <v>0.39</v>
      </c>
      <c r="C97" s="21">
        <v>-2.7</v>
      </c>
    </row>
    <row r="98" spans="1:3" x14ac:dyDescent="0.45">
      <c r="A98" s="20" t="s">
        <v>145</v>
      </c>
      <c r="B98" s="21">
        <v>0.32</v>
      </c>
      <c r="C98" s="21">
        <v>-1.1599999999999999</v>
      </c>
    </row>
    <row r="99" spans="1:3" x14ac:dyDescent="0.45">
      <c r="A99" s="20" t="s">
        <v>146</v>
      </c>
      <c r="B99" s="21">
        <v>0.46</v>
      </c>
      <c r="C99" s="21">
        <v>-2.5499999999999998</v>
      </c>
    </row>
    <row r="100" spans="1:3" x14ac:dyDescent="0.45">
      <c r="A100" s="20" t="s">
        <v>147</v>
      </c>
      <c r="B100" s="21">
        <v>0.53</v>
      </c>
      <c r="C100" s="21">
        <v>-1.68</v>
      </c>
    </row>
    <row r="101" spans="1:3" x14ac:dyDescent="0.45">
      <c r="A101" s="20" t="s">
        <v>148</v>
      </c>
      <c r="B101" s="21">
        <v>0.5</v>
      </c>
      <c r="C101" s="21">
        <v>-2.61</v>
      </c>
    </row>
    <row r="102" spans="1:3" x14ac:dyDescent="0.45">
      <c r="A102" s="20" t="s">
        <v>149</v>
      </c>
      <c r="B102" s="21">
        <v>0.32</v>
      </c>
      <c r="C102" s="21">
        <v>-0.14000000000000001</v>
      </c>
    </row>
    <row r="103" spans="1:3" x14ac:dyDescent="0.45">
      <c r="A103" s="20" t="s">
        <v>150</v>
      </c>
      <c r="B103" s="21">
        <v>0.3</v>
      </c>
      <c r="C103" s="21">
        <v>-2.71</v>
      </c>
    </row>
    <row r="104" spans="1:3" x14ac:dyDescent="0.45">
      <c r="A104" s="20" t="s">
        <v>73</v>
      </c>
      <c r="B104" s="21">
        <v>0.38</v>
      </c>
      <c r="C104" s="21">
        <v>-2.12</v>
      </c>
    </row>
    <row r="105" spans="1:3" x14ac:dyDescent="0.45">
      <c r="A105" s="20" t="s">
        <v>176</v>
      </c>
      <c r="B105" s="21">
        <v>0.49080357142857151</v>
      </c>
      <c r="C105" s="21">
        <v>-272.6699999999999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Site Parameters</vt:lpstr>
      <vt:lpstr>Description</vt:lpstr>
      <vt:lpstr>SPEAR_TUmax_plot</vt:lpstr>
      <vt:lpstr>Sheet2</vt:lpstr>
    </vt:vector>
  </TitlesOfParts>
  <Company>UFZ</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Oliver Weisner</dc:creator>
  <cp:lastModifiedBy>Hong Hanh Nguyen</cp:lastModifiedBy>
  <dcterms:created xsi:type="dcterms:W3CDTF">2020-10-16T09:37:53Z</dcterms:created>
  <dcterms:modified xsi:type="dcterms:W3CDTF">2025-05-25T15:27:24Z</dcterms:modified>
</cp:coreProperties>
</file>